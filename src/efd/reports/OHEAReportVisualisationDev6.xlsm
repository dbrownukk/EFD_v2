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6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iclegg/Documents/EfD/IDAPSEngineering/OHEA/Requirements/ReportsII/"/>
    </mc:Choice>
  </mc:AlternateContent>
  <xr:revisionPtr revIDLastSave="0" documentId="13_ncr:1_{4B1732B8-580B-464D-84E0-22B2196586DB}" xr6:coauthVersionLast="43" xr6:coauthVersionMax="43" xr10:uidLastSave="{00000000-0000-0000-0000-000000000000}"/>
  <bookViews>
    <workbookView xWindow="-4640" yWindow="-21020" windowWidth="35120" windowHeight="20880" xr2:uid="{E1055C6A-758E-2F41-8737-6037012F4CE7}"/>
  </bookViews>
  <sheets>
    <sheet name="Summary" sheetId="1" r:id="rId1"/>
    <sheet name="Disposable Income Data" sheetId="2" state="hidden" r:id="rId2"/>
    <sheet name="Disposable Income" sheetId="3" r:id="rId3"/>
    <sheet name="Standard of Living" sheetId="17" r:id="rId4"/>
    <sheet name="Cash Income Data" sheetId="7" state="hidden" r:id="rId5"/>
    <sheet name="Cash Income" sheetId="6" r:id="rId6"/>
    <sheet name="Food Income Data" sheetId="14" state="hidden" r:id="rId7"/>
    <sheet name="Food Income" sheetId="13" r:id="rId8"/>
    <sheet name="Land Assets" sheetId="15" r:id="rId9"/>
    <sheet name="LiveStock Assets" sheetId="9" r:id="rId10"/>
  </sheets>
  <externalReferences>
    <externalReference r:id="rId11"/>
  </externalReferences>
  <definedNames>
    <definedName name="ChartData" localSheetId="6">OFFSET('LiveStock Assets'!$B$4,0,0,COUNTA('LiveStock Assets'!#REF!)+1,COUNTA('LiveStock Assets'!$4:$4)+1)</definedName>
    <definedName name="ChartData" localSheetId="8">OFFSET('Land Assets'!$B$4,0,0,COUNTA('Land Assets'!#REF!)+1,COUNTA('Land Assets'!$4:$4)+1)</definedName>
    <definedName name="CI_Base_Range" localSheetId="7">#N/A</definedName>
    <definedName name="CI_Base_Range" localSheetId="6">OFFSET('Food Income Data'!$A$1,1,0,MAX('Food Income Data'!DI_No_of_HHs,1),1)</definedName>
    <definedName name="CI_Base_Range">OFFSET('Cash Income Data'!$B$6,1,0,MAX([0]!CI_No_of_WGs,1),2)</definedName>
    <definedName name="CI_Crop_Cash_Values" localSheetId="7">OFFSET('Food Income'!CI_Base_Range,0,1)</definedName>
    <definedName name="CI_Crop_Cash_Values" localSheetId="6">OFFSET('Food Income Data'!CI_Base_Range,0,1)</definedName>
    <definedName name="CI_Crop_Cash_Values">OFFSET('Cash Income Data'!$D$6,1,0,MAX([0]!CI_No_of_WGs,1),1)</definedName>
    <definedName name="CI_Empl_Cash_Values" localSheetId="7">OFFSET('Food Income'!CI_Base_Range,0,2)</definedName>
    <definedName name="CI_Empl_Cash_Values" localSheetId="6">OFFSET('Food Income Data'!CI_Base_Range,0,2)</definedName>
    <definedName name="CI_Empl_Cash_Values">OFFSET(CI_Crop_Cash_Values,0,1)</definedName>
    <definedName name="CI_LStock_Cash_Values" localSheetId="7">OFFSET('Food Income'!CI_Base_Range,0,3)</definedName>
    <definedName name="CI_LStock_Cash_Values" localSheetId="6">OFFSET('Food Income Data'!CI_Base_Range,0,3)</definedName>
    <definedName name="CI_LStock_Cash_Values">OFFSET(CI_Crop_Cash_Values,0,2)</definedName>
    <definedName name="CI_No_of_WGs">'Cash Income Data'!$J$5</definedName>
    <definedName name="CI_Wild_Cash_Values" localSheetId="7">OFFSET('Food Income'!CI_Base_Range,0,5)</definedName>
    <definedName name="CI_Wild_Cash_Values" localSheetId="6">OFFSET('Food Income Data'!CI_Base_Range,0,5)</definedName>
    <definedName name="CI_Wild_Cash_Values">OFFSET(CI_Crop_Cash_Values,0,4)</definedName>
    <definedName name="CI_Xfer_Cash_Values" localSheetId="7">OFFSET('Food Income'!CI_Base_Range,0,4)</definedName>
    <definedName name="CI_Xfer_Cash_Values" localSheetId="6">OFFSET('Food Income Data'!CI_Base_Range,0,4)</definedName>
    <definedName name="CI_Xfer_Cash_Values">OFFSET(CI_Crop_Cash_Values,0,3)</definedName>
    <definedName name="DI_Base_Range" localSheetId="4">OFFSET('Cash Income Data'!$C$1,1,0,MAX('Cash Income Data'!DI_No_of_HHs,1),1)</definedName>
    <definedName name="DI_Base_Range" localSheetId="6">OFFSET('Food Income Data'!$A$1,1,0,MAX('Food Income Data'!DI_No_of_HHs,1),1)</definedName>
    <definedName name="DI_Base_Range">OFFSET('Disposable Income Data'!$H$6,1,0,MAX(DI_No_of_WGs,1),2)</definedName>
    <definedName name="DI_Base_Values" localSheetId="4">OFFSET('Cash Income Data'!DI_Base_Range,0,1)</definedName>
    <definedName name="DI_Base_Values" localSheetId="6">OFFSET('Food Income Data'!DI_Base_Range,0,1)</definedName>
    <definedName name="DI_Base_Values">OFFSET(DI_Base_Range,0,3,,1)</definedName>
    <definedName name="DI_No_of_HHs" localSheetId="4">'Cash Income Data'!$J$5</definedName>
    <definedName name="DI_No_of_HHs" localSheetId="6">'Food Income Data'!$J$5</definedName>
    <definedName name="DI_No_of_WGs">'Disposable Income Data'!$G$11</definedName>
    <definedName name="DI_PerHead_Values">OFFSET(DI_Base_Range,0,7,,1)</definedName>
    <definedName name="FI_Base_Range">OFFSET('Food Income Data'!$B$6,1,0,MAX([0]!FI_No_of_WGs,1),2)</definedName>
    <definedName name="FI_Crop_Food_income">OFFSET('Food Income Data'!$D$6,1,0,MAX(FI_No_of_WGs,1),1)</definedName>
    <definedName name="FI_Empl_Food_income">OFFSET(FI_Crop_Food_income,0,1)</definedName>
    <definedName name="FI_LStock_Food_income">OFFSET(FI_Crop_Food_income,0,2)</definedName>
    <definedName name="FI_No_of_WGs">'Food Income Data'!$J$5</definedName>
    <definedName name="FI_Wild_Food_income">OFFSET(FI_Crop_Food_income,0,4)</definedName>
    <definedName name="FI_Xfer_Food_income">OFFSET(FI_Crop_Food_income,0,3)</definedName>
    <definedName name="Land_ChartData">OFFSET('Land Assets'!$D$6,0,0,'Land Assets'!$A$8+1,'Land Assets'!$A$10+1)</definedName>
    <definedName name="Land_ChartRange">OFFSET('Land Assets'!$D$2,0,0,4,'Land Assets'!$A$10+1)</definedName>
    <definedName name="Land_No_of_WGs">'Land Assets'!$A$8</definedName>
    <definedName name="LS_ChartData" localSheetId="8">OFFSET('Land Assets'!$B$2,0,0,'Land Assets'!$A$7+1,'Land Assets'!$A$10+1)</definedName>
    <definedName name="LS_ChartData">OFFSET('LiveStock Assets'!$D$6,0,0,'LiveStock Assets'!$A$10+1,'LiveStock Assets'!$A$12+1)</definedName>
    <definedName name="LS_ChartRange" localSheetId="8">OFFSET('Land Assets'!$B$2,0,0,'Land Assets'!$A$7+1,'Land Assets'!$A$10+1)</definedName>
    <definedName name="LS_ChartRange">OFFSET('LiveStock Assets'!$D$2,0,0,4,'LiveStock Assets'!$A$12+1)</definedName>
    <definedName name="StoL_Base_Range">OFFSET('Standard of Living'!$B$6,1,0,MAX(StoL_No_of_WGs,1),2)</definedName>
    <definedName name="StoL_DI">OFFSET('Standard of Living'!$D$6,1,0,MAX(StoL_No_of_WGs,1),1)</definedName>
    <definedName name="StoL_DI_AE">OFFSET('Standard of Living'!$K$6,1,0,MAX(StoL_No_of_WGs,1),1)</definedName>
    <definedName name="StoL_No_of_WGs">'Standard of Living'!$A$19</definedName>
    <definedName name="StoL_Soc_Incl">OFFSET('Standard of Living'!$J$6,1,0,MAX(StoL_No_of_WGs,1),1)</definedName>
    <definedName name="StoL_Soc_Incl_AE">OFFSET('Standard of Living'!$L$6,1,0,MAX(StoL_No_of_WGs,1),1)</definedName>
    <definedName name="StoL_Survival">OFFSET('Standard of Living'!$I$6,1,0,MAX(StoL_No_of_WGs,1),1)</definedName>
    <definedName name="StoL_Survival_AE">OFFSET('Standard of Living'!$M$6,1,0,MAX(StoL_No_of_WGs,1),1)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A4" i="9" l="1"/>
  <c r="Z4" i="9"/>
  <c r="Y4" i="9"/>
  <c r="X4" i="9"/>
  <c r="W4" i="9"/>
  <c r="V4" i="9"/>
  <c r="U4" i="9"/>
  <c r="T4" i="9"/>
  <c r="S4" i="9"/>
  <c r="R4" i="9"/>
  <c r="Q4" i="9"/>
  <c r="P4" i="9"/>
  <c r="O4" i="9"/>
  <c r="N4" i="9"/>
  <c r="M4" i="9"/>
  <c r="L4" i="9"/>
  <c r="K4" i="9"/>
  <c r="J4" i="9"/>
  <c r="I4" i="9"/>
  <c r="H4" i="9"/>
  <c r="G4" i="9"/>
  <c r="F4" i="9"/>
  <c r="E4" i="9"/>
  <c r="AA3" i="9"/>
  <c r="Z3" i="9"/>
  <c r="Y3" i="9"/>
  <c r="X3" i="9"/>
  <c r="W3" i="9"/>
  <c r="V3" i="9"/>
  <c r="U3" i="9"/>
  <c r="T3" i="9"/>
  <c r="S3" i="9"/>
  <c r="R3" i="9"/>
  <c r="Q3" i="9"/>
  <c r="P3" i="9"/>
  <c r="O3" i="9"/>
  <c r="N3" i="9"/>
  <c r="M3" i="9"/>
  <c r="L3" i="9"/>
  <c r="K3" i="9"/>
  <c r="J3" i="9"/>
  <c r="I3" i="9"/>
  <c r="H3" i="9"/>
  <c r="G3" i="9"/>
  <c r="F3" i="9"/>
  <c r="E3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AA99" i="9"/>
  <c r="Z99" i="9"/>
  <c r="Y99" i="9"/>
  <c r="X99" i="9"/>
  <c r="W99" i="9"/>
  <c r="V99" i="9"/>
  <c r="U99" i="9"/>
  <c r="T99" i="9"/>
  <c r="S99" i="9"/>
  <c r="R99" i="9"/>
  <c r="Q99" i="9"/>
  <c r="P99" i="9"/>
  <c r="O99" i="9"/>
  <c r="N99" i="9"/>
  <c r="M99" i="9"/>
  <c r="L99" i="9"/>
  <c r="K99" i="9"/>
  <c r="J99" i="9"/>
  <c r="I99" i="9"/>
  <c r="H99" i="9"/>
  <c r="G99" i="9"/>
  <c r="F99" i="9"/>
  <c r="E99" i="9"/>
  <c r="AA98" i="9"/>
  <c r="Z98" i="9"/>
  <c r="Y98" i="9"/>
  <c r="X98" i="9"/>
  <c r="W98" i="9"/>
  <c r="V98" i="9"/>
  <c r="U98" i="9"/>
  <c r="T98" i="9"/>
  <c r="S98" i="9"/>
  <c r="R98" i="9"/>
  <c r="Q98" i="9"/>
  <c r="P98" i="9"/>
  <c r="O98" i="9"/>
  <c r="N98" i="9"/>
  <c r="M98" i="9"/>
  <c r="L98" i="9"/>
  <c r="K98" i="9"/>
  <c r="J98" i="9"/>
  <c r="I98" i="9"/>
  <c r="H98" i="9"/>
  <c r="G98" i="9"/>
  <c r="F98" i="9"/>
  <c r="E98" i="9"/>
  <c r="AA97" i="9"/>
  <c r="Z97" i="9"/>
  <c r="Y97" i="9"/>
  <c r="X97" i="9"/>
  <c r="W97" i="9"/>
  <c r="V97" i="9"/>
  <c r="U97" i="9"/>
  <c r="T97" i="9"/>
  <c r="S97" i="9"/>
  <c r="R97" i="9"/>
  <c r="Q97" i="9"/>
  <c r="P97" i="9"/>
  <c r="O97" i="9"/>
  <c r="N97" i="9"/>
  <c r="M97" i="9"/>
  <c r="L97" i="9"/>
  <c r="K97" i="9"/>
  <c r="J97" i="9"/>
  <c r="I97" i="9"/>
  <c r="H97" i="9"/>
  <c r="G97" i="9"/>
  <c r="F97" i="9"/>
  <c r="E97" i="9"/>
  <c r="AA96" i="9"/>
  <c r="Z96" i="9"/>
  <c r="Y96" i="9"/>
  <c r="X96" i="9"/>
  <c r="W96" i="9"/>
  <c r="V96" i="9"/>
  <c r="U96" i="9"/>
  <c r="T96" i="9"/>
  <c r="S96" i="9"/>
  <c r="R96" i="9"/>
  <c r="Q96" i="9"/>
  <c r="P96" i="9"/>
  <c r="O96" i="9"/>
  <c r="N96" i="9"/>
  <c r="M96" i="9"/>
  <c r="L96" i="9"/>
  <c r="K96" i="9"/>
  <c r="J96" i="9"/>
  <c r="I96" i="9"/>
  <c r="H96" i="9"/>
  <c r="G96" i="9"/>
  <c r="F96" i="9"/>
  <c r="E96" i="9"/>
  <c r="AA95" i="9"/>
  <c r="Z95" i="9"/>
  <c r="Y95" i="9"/>
  <c r="X95" i="9"/>
  <c r="W95" i="9"/>
  <c r="V95" i="9"/>
  <c r="U95" i="9"/>
  <c r="T95" i="9"/>
  <c r="S95" i="9"/>
  <c r="R95" i="9"/>
  <c r="Q95" i="9"/>
  <c r="P95" i="9"/>
  <c r="O95" i="9"/>
  <c r="N95" i="9"/>
  <c r="M95" i="9"/>
  <c r="L95" i="9"/>
  <c r="K95" i="9"/>
  <c r="J95" i="9"/>
  <c r="I95" i="9"/>
  <c r="H95" i="9"/>
  <c r="G95" i="9"/>
  <c r="F95" i="9"/>
  <c r="E95" i="9"/>
  <c r="AA94" i="9"/>
  <c r="Z94" i="9"/>
  <c r="Y94" i="9"/>
  <c r="X94" i="9"/>
  <c r="W94" i="9"/>
  <c r="V94" i="9"/>
  <c r="U94" i="9"/>
  <c r="T94" i="9"/>
  <c r="S94" i="9"/>
  <c r="R94" i="9"/>
  <c r="Q94" i="9"/>
  <c r="P94" i="9"/>
  <c r="O94" i="9"/>
  <c r="N94" i="9"/>
  <c r="M94" i="9"/>
  <c r="L94" i="9"/>
  <c r="K94" i="9"/>
  <c r="J94" i="9"/>
  <c r="I94" i="9"/>
  <c r="H94" i="9"/>
  <c r="G94" i="9"/>
  <c r="F94" i="9"/>
  <c r="E94" i="9"/>
  <c r="AA93" i="9"/>
  <c r="Z93" i="9"/>
  <c r="Y93" i="9"/>
  <c r="X93" i="9"/>
  <c r="W93" i="9"/>
  <c r="V93" i="9"/>
  <c r="U93" i="9"/>
  <c r="T93" i="9"/>
  <c r="S93" i="9"/>
  <c r="R93" i="9"/>
  <c r="Q93" i="9"/>
  <c r="P93" i="9"/>
  <c r="O93" i="9"/>
  <c r="N93" i="9"/>
  <c r="M93" i="9"/>
  <c r="L93" i="9"/>
  <c r="K93" i="9"/>
  <c r="J93" i="9"/>
  <c r="I93" i="9"/>
  <c r="H93" i="9"/>
  <c r="G93" i="9"/>
  <c r="F93" i="9"/>
  <c r="E93" i="9"/>
  <c r="AA92" i="9"/>
  <c r="Z92" i="9"/>
  <c r="Y92" i="9"/>
  <c r="X92" i="9"/>
  <c r="W92" i="9"/>
  <c r="V92" i="9"/>
  <c r="U92" i="9"/>
  <c r="T92" i="9"/>
  <c r="S92" i="9"/>
  <c r="R92" i="9"/>
  <c r="Q92" i="9"/>
  <c r="P92" i="9"/>
  <c r="O92" i="9"/>
  <c r="N92" i="9"/>
  <c r="M92" i="9"/>
  <c r="L92" i="9"/>
  <c r="K92" i="9"/>
  <c r="J92" i="9"/>
  <c r="I92" i="9"/>
  <c r="H92" i="9"/>
  <c r="G92" i="9"/>
  <c r="F92" i="9"/>
  <c r="E92" i="9"/>
  <c r="AA91" i="9"/>
  <c r="Z91" i="9"/>
  <c r="Y91" i="9"/>
  <c r="X91" i="9"/>
  <c r="W91" i="9"/>
  <c r="V91" i="9"/>
  <c r="U91" i="9"/>
  <c r="T91" i="9"/>
  <c r="S91" i="9"/>
  <c r="R91" i="9"/>
  <c r="Q91" i="9"/>
  <c r="P91" i="9"/>
  <c r="O91" i="9"/>
  <c r="N91" i="9"/>
  <c r="M91" i="9"/>
  <c r="L91" i="9"/>
  <c r="K91" i="9"/>
  <c r="J91" i="9"/>
  <c r="I91" i="9"/>
  <c r="H91" i="9"/>
  <c r="G91" i="9"/>
  <c r="F91" i="9"/>
  <c r="E91" i="9"/>
  <c r="AA90" i="9"/>
  <c r="Z90" i="9"/>
  <c r="Y90" i="9"/>
  <c r="X90" i="9"/>
  <c r="W90" i="9"/>
  <c r="V90" i="9"/>
  <c r="U90" i="9"/>
  <c r="T90" i="9"/>
  <c r="S90" i="9"/>
  <c r="R90" i="9"/>
  <c r="Q90" i="9"/>
  <c r="P90" i="9"/>
  <c r="O90" i="9"/>
  <c r="N90" i="9"/>
  <c r="M90" i="9"/>
  <c r="L90" i="9"/>
  <c r="K90" i="9"/>
  <c r="J90" i="9"/>
  <c r="I90" i="9"/>
  <c r="H90" i="9"/>
  <c r="G90" i="9"/>
  <c r="F90" i="9"/>
  <c r="E90" i="9"/>
  <c r="AA89" i="9"/>
  <c r="Z89" i="9"/>
  <c r="Y89" i="9"/>
  <c r="X89" i="9"/>
  <c r="W89" i="9"/>
  <c r="V89" i="9"/>
  <c r="U89" i="9"/>
  <c r="T89" i="9"/>
  <c r="S89" i="9"/>
  <c r="R89" i="9"/>
  <c r="Q89" i="9"/>
  <c r="P89" i="9"/>
  <c r="O89" i="9"/>
  <c r="N89" i="9"/>
  <c r="M89" i="9"/>
  <c r="L89" i="9"/>
  <c r="K89" i="9"/>
  <c r="J89" i="9"/>
  <c r="I89" i="9"/>
  <c r="H89" i="9"/>
  <c r="G89" i="9"/>
  <c r="F89" i="9"/>
  <c r="E89" i="9"/>
  <c r="AA88" i="9"/>
  <c r="Z88" i="9"/>
  <c r="Y88" i="9"/>
  <c r="X88" i="9"/>
  <c r="W88" i="9"/>
  <c r="V88" i="9"/>
  <c r="U88" i="9"/>
  <c r="T88" i="9"/>
  <c r="S88" i="9"/>
  <c r="R88" i="9"/>
  <c r="Q88" i="9"/>
  <c r="P88" i="9"/>
  <c r="O88" i="9"/>
  <c r="N88" i="9"/>
  <c r="M88" i="9"/>
  <c r="L88" i="9"/>
  <c r="K88" i="9"/>
  <c r="J88" i="9"/>
  <c r="I88" i="9"/>
  <c r="H88" i="9"/>
  <c r="G88" i="9"/>
  <c r="F88" i="9"/>
  <c r="E88" i="9"/>
  <c r="AA87" i="9"/>
  <c r="Z87" i="9"/>
  <c r="Y87" i="9"/>
  <c r="X87" i="9"/>
  <c r="W87" i="9"/>
  <c r="V87" i="9"/>
  <c r="U87" i="9"/>
  <c r="T87" i="9"/>
  <c r="S87" i="9"/>
  <c r="R87" i="9"/>
  <c r="Q87" i="9"/>
  <c r="P87" i="9"/>
  <c r="O87" i="9"/>
  <c r="N87" i="9"/>
  <c r="M87" i="9"/>
  <c r="L87" i="9"/>
  <c r="K87" i="9"/>
  <c r="J87" i="9"/>
  <c r="I87" i="9"/>
  <c r="H87" i="9"/>
  <c r="G87" i="9"/>
  <c r="F87" i="9"/>
  <c r="E87" i="9"/>
  <c r="AA86" i="9"/>
  <c r="Z86" i="9"/>
  <c r="Y86" i="9"/>
  <c r="X86" i="9"/>
  <c r="W86" i="9"/>
  <c r="V86" i="9"/>
  <c r="U86" i="9"/>
  <c r="T86" i="9"/>
  <c r="S86" i="9"/>
  <c r="R86" i="9"/>
  <c r="Q86" i="9"/>
  <c r="P86" i="9"/>
  <c r="O86" i="9"/>
  <c r="N86" i="9"/>
  <c r="M86" i="9"/>
  <c r="L86" i="9"/>
  <c r="K86" i="9"/>
  <c r="J86" i="9"/>
  <c r="I86" i="9"/>
  <c r="H86" i="9"/>
  <c r="G86" i="9"/>
  <c r="F86" i="9"/>
  <c r="E86" i="9"/>
  <c r="AA85" i="9"/>
  <c r="Z85" i="9"/>
  <c r="Y85" i="9"/>
  <c r="X85" i="9"/>
  <c r="W85" i="9"/>
  <c r="V85" i="9"/>
  <c r="U85" i="9"/>
  <c r="T85" i="9"/>
  <c r="S85" i="9"/>
  <c r="R85" i="9"/>
  <c r="Q85" i="9"/>
  <c r="P85" i="9"/>
  <c r="O85" i="9"/>
  <c r="N85" i="9"/>
  <c r="M85" i="9"/>
  <c r="L85" i="9"/>
  <c r="K85" i="9"/>
  <c r="J85" i="9"/>
  <c r="I85" i="9"/>
  <c r="H85" i="9"/>
  <c r="G85" i="9"/>
  <c r="F85" i="9"/>
  <c r="E85" i="9"/>
  <c r="AA84" i="9"/>
  <c r="Z84" i="9"/>
  <c r="Y84" i="9"/>
  <c r="X84" i="9"/>
  <c r="W84" i="9"/>
  <c r="V84" i="9"/>
  <c r="U84" i="9"/>
  <c r="T84" i="9"/>
  <c r="S84" i="9"/>
  <c r="R84" i="9"/>
  <c r="Q84" i="9"/>
  <c r="P84" i="9"/>
  <c r="O84" i="9"/>
  <c r="N84" i="9"/>
  <c r="M84" i="9"/>
  <c r="L84" i="9"/>
  <c r="K84" i="9"/>
  <c r="J84" i="9"/>
  <c r="I84" i="9"/>
  <c r="H84" i="9"/>
  <c r="G84" i="9"/>
  <c r="F84" i="9"/>
  <c r="E84" i="9"/>
  <c r="AA83" i="9"/>
  <c r="Z83" i="9"/>
  <c r="Y83" i="9"/>
  <c r="X83" i="9"/>
  <c r="W83" i="9"/>
  <c r="V83" i="9"/>
  <c r="U83" i="9"/>
  <c r="T83" i="9"/>
  <c r="S83" i="9"/>
  <c r="R83" i="9"/>
  <c r="Q83" i="9"/>
  <c r="P83" i="9"/>
  <c r="O83" i="9"/>
  <c r="N83" i="9"/>
  <c r="M83" i="9"/>
  <c r="L83" i="9"/>
  <c r="K83" i="9"/>
  <c r="J83" i="9"/>
  <c r="I83" i="9"/>
  <c r="H83" i="9"/>
  <c r="G83" i="9"/>
  <c r="F83" i="9"/>
  <c r="E83" i="9"/>
  <c r="AA82" i="9"/>
  <c r="Z82" i="9"/>
  <c r="Y82" i="9"/>
  <c r="X82" i="9"/>
  <c r="W82" i="9"/>
  <c r="V82" i="9"/>
  <c r="U82" i="9"/>
  <c r="T82" i="9"/>
  <c r="S82" i="9"/>
  <c r="R82" i="9"/>
  <c r="Q82" i="9"/>
  <c r="P82" i="9"/>
  <c r="O82" i="9"/>
  <c r="N82" i="9"/>
  <c r="M82" i="9"/>
  <c r="L82" i="9"/>
  <c r="K82" i="9"/>
  <c r="J82" i="9"/>
  <c r="I82" i="9"/>
  <c r="H82" i="9"/>
  <c r="G82" i="9"/>
  <c r="F82" i="9"/>
  <c r="E82" i="9"/>
  <c r="AA81" i="9"/>
  <c r="Z81" i="9"/>
  <c r="Y81" i="9"/>
  <c r="X81" i="9"/>
  <c r="W81" i="9"/>
  <c r="V81" i="9"/>
  <c r="U81" i="9"/>
  <c r="T81" i="9"/>
  <c r="S81" i="9"/>
  <c r="R81" i="9"/>
  <c r="Q81" i="9"/>
  <c r="P81" i="9"/>
  <c r="O81" i="9"/>
  <c r="N81" i="9"/>
  <c r="M81" i="9"/>
  <c r="L81" i="9"/>
  <c r="K81" i="9"/>
  <c r="J81" i="9"/>
  <c r="I81" i="9"/>
  <c r="H81" i="9"/>
  <c r="G81" i="9"/>
  <c r="F81" i="9"/>
  <c r="E81" i="9"/>
  <c r="AA80" i="9"/>
  <c r="Z80" i="9"/>
  <c r="Y80" i="9"/>
  <c r="X80" i="9"/>
  <c r="W80" i="9"/>
  <c r="V80" i="9"/>
  <c r="U80" i="9"/>
  <c r="T80" i="9"/>
  <c r="S80" i="9"/>
  <c r="R80" i="9"/>
  <c r="Q80" i="9"/>
  <c r="P80" i="9"/>
  <c r="O80" i="9"/>
  <c r="N80" i="9"/>
  <c r="M80" i="9"/>
  <c r="L80" i="9"/>
  <c r="K80" i="9"/>
  <c r="J80" i="9"/>
  <c r="I80" i="9"/>
  <c r="H80" i="9"/>
  <c r="G80" i="9"/>
  <c r="F80" i="9"/>
  <c r="E80" i="9"/>
  <c r="AA79" i="9"/>
  <c r="Z79" i="9"/>
  <c r="Y79" i="9"/>
  <c r="X79" i="9"/>
  <c r="W79" i="9"/>
  <c r="V79" i="9"/>
  <c r="U79" i="9"/>
  <c r="T79" i="9"/>
  <c r="S79" i="9"/>
  <c r="R79" i="9"/>
  <c r="Q79" i="9"/>
  <c r="P79" i="9"/>
  <c r="O79" i="9"/>
  <c r="N79" i="9"/>
  <c r="M79" i="9"/>
  <c r="L79" i="9"/>
  <c r="K79" i="9"/>
  <c r="J79" i="9"/>
  <c r="I79" i="9"/>
  <c r="H79" i="9"/>
  <c r="G79" i="9"/>
  <c r="F79" i="9"/>
  <c r="E79" i="9"/>
  <c r="AA78" i="9"/>
  <c r="Z78" i="9"/>
  <c r="Y78" i="9"/>
  <c r="X78" i="9"/>
  <c r="W78" i="9"/>
  <c r="V78" i="9"/>
  <c r="U78" i="9"/>
  <c r="T78" i="9"/>
  <c r="S78" i="9"/>
  <c r="R78" i="9"/>
  <c r="Q78" i="9"/>
  <c r="P78" i="9"/>
  <c r="O78" i="9"/>
  <c r="N78" i="9"/>
  <c r="M78" i="9"/>
  <c r="L78" i="9"/>
  <c r="K78" i="9"/>
  <c r="J78" i="9"/>
  <c r="I78" i="9"/>
  <c r="H78" i="9"/>
  <c r="G78" i="9"/>
  <c r="F78" i="9"/>
  <c r="E78" i="9"/>
  <c r="AA77" i="9"/>
  <c r="Z77" i="9"/>
  <c r="Y77" i="9"/>
  <c r="X77" i="9"/>
  <c r="W77" i="9"/>
  <c r="V77" i="9"/>
  <c r="U77" i="9"/>
  <c r="T77" i="9"/>
  <c r="S77" i="9"/>
  <c r="R77" i="9"/>
  <c r="Q77" i="9"/>
  <c r="P77" i="9"/>
  <c r="O77" i="9"/>
  <c r="N77" i="9"/>
  <c r="M77" i="9"/>
  <c r="L77" i="9"/>
  <c r="K77" i="9"/>
  <c r="J77" i="9"/>
  <c r="I77" i="9"/>
  <c r="H77" i="9"/>
  <c r="G77" i="9"/>
  <c r="F77" i="9"/>
  <c r="E77" i="9"/>
  <c r="AA76" i="9"/>
  <c r="Z76" i="9"/>
  <c r="Y76" i="9"/>
  <c r="X76" i="9"/>
  <c r="W76" i="9"/>
  <c r="V76" i="9"/>
  <c r="U76" i="9"/>
  <c r="T76" i="9"/>
  <c r="S76" i="9"/>
  <c r="R76" i="9"/>
  <c r="Q76" i="9"/>
  <c r="P76" i="9"/>
  <c r="O76" i="9"/>
  <c r="N76" i="9"/>
  <c r="M76" i="9"/>
  <c r="L76" i="9"/>
  <c r="K76" i="9"/>
  <c r="J76" i="9"/>
  <c r="I76" i="9"/>
  <c r="H76" i="9"/>
  <c r="G76" i="9"/>
  <c r="F76" i="9"/>
  <c r="E76" i="9"/>
  <c r="AA75" i="9"/>
  <c r="Z75" i="9"/>
  <c r="Y75" i="9"/>
  <c r="X75" i="9"/>
  <c r="W75" i="9"/>
  <c r="V75" i="9"/>
  <c r="U75" i="9"/>
  <c r="T75" i="9"/>
  <c r="S75" i="9"/>
  <c r="R75" i="9"/>
  <c r="Q75" i="9"/>
  <c r="P75" i="9"/>
  <c r="O75" i="9"/>
  <c r="N75" i="9"/>
  <c r="M75" i="9"/>
  <c r="L75" i="9"/>
  <c r="K75" i="9"/>
  <c r="J75" i="9"/>
  <c r="I75" i="9"/>
  <c r="H75" i="9"/>
  <c r="G75" i="9"/>
  <c r="F75" i="9"/>
  <c r="E75" i="9"/>
  <c r="AA74" i="9"/>
  <c r="Z74" i="9"/>
  <c r="Y74" i="9"/>
  <c r="X74" i="9"/>
  <c r="W74" i="9"/>
  <c r="V74" i="9"/>
  <c r="U74" i="9"/>
  <c r="T74" i="9"/>
  <c r="S74" i="9"/>
  <c r="R74" i="9"/>
  <c r="Q74" i="9"/>
  <c r="P74" i="9"/>
  <c r="O74" i="9"/>
  <c r="N74" i="9"/>
  <c r="M74" i="9"/>
  <c r="L74" i="9"/>
  <c r="K74" i="9"/>
  <c r="J74" i="9"/>
  <c r="I74" i="9"/>
  <c r="H74" i="9"/>
  <c r="G74" i="9"/>
  <c r="F74" i="9"/>
  <c r="E74" i="9"/>
  <c r="AA73" i="9"/>
  <c r="Z73" i="9"/>
  <c r="Y73" i="9"/>
  <c r="X73" i="9"/>
  <c r="W73" i="9"/>
  <c r="V73" i="9"/>
  <c r="U73" i="9"/>
  <c r="T73" i="9"/>
  <c r="S73" i="9"/>
  <c r="R73" i="9"/>
  <c r="Q73" i="9"/>
  <c r="P73" i="9"/>
  <c r="O73" i="9"/>
  <c r="N73" i="9"/>
  <c r="M73" i="9"/>
  <c r="L73" i="9"/>
  <c r="K73" i="9"/>
  <c r="J73" i="9"/>
  <c r="I73" i="9"/>
  <c r="H73" i="9"/>
  <c r="G73" i="9"/>
  <c r="F73" i="9"/>
  <c r="E73" i="9"/>
  <c r="AA72" i="9"/>
  <c r="Z72" i="9"/>
  <c r="Y72" i="9"/>
  <c r="X72" i="9"/>
  <c r="W72" i="9"/>
  <c r="V72" i="9"/>
  <c r="U72" i="9"/>
  <c r="T72" i="9"/>
  <c r="S72" i="9"/>
  <c r="R72" i="9"/>
  <c r="Q72" i="9"/>
  <c r="P72" i="9"/>
  <c r="O72" i="9"/>
  <c r="N72" i="9"/>
  <c r="M72" i="9"/>
  <c r="L72" i="9"/>
  <c r="K72" i="9"/>
  <c r="J72" i="9"/>
  <c r="I72" i="9"/>
  <c r="H72" i="9"/>
  <c r="G72" i="9"/>
  <c r="F72" i="9"/>
  <c r="E72" i="9"/>
  <c r="AA71" i="9"/>
  <c r="Z71" i="9"/>
  <c r="Y71" i="9"/>
  <c r="X71" i="9"/>
  <c r="W71" i="9"/>
  <c r="V71" i="9"/>
  <c r="U71" i="9"/>
  <c r="T71" i="9"/>
  <c r="S71" i="9"/>
  <c r="R71" i="9"/>
  <c r="Q71" i="9"/>
  <c r="P71" i="9"/>
  <c r="O71" i="9"/>
  <c r="N71" i="9"/>
  <c r="M71" i="9"/>
  <c r="L71" i="9"/>
  <c r="K71" i="9"/>
  <c r="J71" i="9"/>
  <c r="I71" i="9"/>
  <c r="H71" i="9"/>
  <c r="G71" i="9"/>
  <c r="F71" i="9"/>
  <c r="E71" i="9"/>
  <c r="AA70" i="9"/>
  <c r="Z70" i="9"/>
  <c r="Y70" i="9"/>
  <c r="X70" i="9"/>
  <c r="W70" i="9"/>
  <c r="V70" i="9"/>
  <c r="U70" i="9"/>
  <c r="T70" i="9"/>
  <c r="S70" i="9"/>
  <c r="R70" i="9"/>
  <c r="Q70" i="9"/>
  <c r="P70" i="9"/>
  <c r="O70" i="9"/>
  <c r="N70" i="9"/>
  <c r="M70" i="9"/>
  <c r="L70" i="9"/>
  <c r="K70" i="9"/>
  <c r="J70" i="9"/>
  <c r="I70" i="9"/>
  <c r="H70" i="9"/>
  <c r="G70" i="9"/>
  <c r="F70" i="9"/>
  <c r="E70" i="9"/>
  <c r="AA69" i="9"/>
  <c r="Z69" i="9"/>
  <c r="Y69" i="9"/>
  <c r="X69" i="9"/>
  <c r="W69" i="9"/>
  <c r="V69" i="9"/>
  <c r="U69" i="9"/>
  <c r="T69" i="9"/>
  <c r="S69" i="9"/>
  <c r="R69" i="9"/>
  <c r="Q69" i="9"/>
  <c r="P69" i="9"/>
  <c r="O69" i="9"/>
  <c r="N69" i="9"/>
  <c r="M69" i="9"/>
  <c r="L69" i="9"/>
  <c r="K69" i="9"/>
  <c r="J69" i="9"/>
  <c r="I69" i="9"/>
  <c r="H69" i="9"/>
  <c r="G69" i="9"/>
  <c r="F69" i="9"/>
  <c r="E69" i="9"/>
  <c r="AA68" i="9"/>
  <c r="Z68" i="9"/>
  <c r="Y68" i="9"/>
  <c r="X68" i="9"/>
  <c r="W68" i="9"/>
  <c r="V68" i="9"/>
  <c r="U68" i="9"/>
  <c r="T68" i="9"/>
  <c r="S68" i="9"/>
  <c r="R68" i="9"/>
  <c r="Q68" i="9"/>
  <c r="P68" i="9"/>
  <c r="O68" i="9"/>
  <c r="N68" i="9"/>
  <c r="M68" i="9"/>
  <c r="L68" i="9"/>
  <c r="K68" i="9"/>
  <c r="J68" i="9"/>
  <c r="I68" i="9"/>
  <c r="H68" i="9"/>
  <c r="G68" i="9"/>
  <c r="F68" i="9"/>
  <c r="E68" i="9"/>
  <c r="AA67" i="9"/>
  <c r="Z67" i="9"/>
  <c r="Y67" i="9"/>
  <c r="X67" i="9"/>
  <c r="W67" i="9"/>
  <c r="V67" i="9"/>
  <c r="U67" i="9"/>
  <c r="T67" i="9"/>
  <c r="S67" i="9"/>
  <c r="R67" i="9"/>
  <c r="Q67" i="9"/>
  <c r="P67" i="9"/>
  <c r="O67" i="9"/>
  <c r="N67" i="9"/>
  <c r="M67" i="9"/>
  <c r="L67" i="9"/>
  <c r="K67" i="9"/>
  <c r="J67" i="9"/>
  <c r="I67" i="9"/>
  <c r="H67" i="9"/>
  <c r="G67" i="9"/>
  <c r="F67" i="9"/>
  <c r="E67" i="9"/>
  <c r="AA66" i="9"/>
  <c r="Z66" i="9"/>
  <c r="Y66" i="9"/>
  <c r="X66" i="9"/>
  <c r="W66" i="9"/>
  <c r="V66" i="9"/>
  <c r="U66" i="9"/>
  <c r="T66" i="9"/>
  <c r="S66" i="9"/>
  <c r="R66" i="9"/>
  <c r="Q66" i="9"/>
  <c r="P66" i="9"/>
  <c r="O66" i="9"/>
  <c r="N66" i="9"/>
  <c r="M66" i="9"/>
  <c r="L66" i="9"/>
  <c r="K66" i="9"/>
  <c r="J66" i="9"/>
  <c r="I66" i="9"/>
  <c r="H66" i="9"/>
  <c r="G66" i="9"/>
  <c r="F66" i="9"/>
  <c r="E66" i="9"/>
  <c r="AA65" i="9"/>
  <c r="Z65" i="9"/>
  <c r="Y65" i="9"/>
  <c r="X65" i="9"/>
  <c r="W65" i="9"/>
  <c r="V65" i="9"/>
  <c r="U65" i="9"/>
  <c r="T65" i="9"/>
  <c r="S65" i="9"/>
  <c r="R65" i="9"/>
  <c r="Q65" i="9"/>
  <c r="P65" i="9"/>
  <c r="O65" i="9"/>
  <c r="N65" i="9"/>
  <c r="M65" i="9"/>
  <c r="L65" i="9"/>
  <c r="K65" i="9"/>
  <c r="J65" i="9"/>
  <c r="I65" i="9"/>
  <c r="H65" i="9"/>
  <c r="G65" i="9"/>
  <c r="F65" i="9"/>
  <c r="E65" i="9"/>
  <c r="AA64" i="9"/>
  <c r="Z64" i="9"/>
  <c r="Y64" i="9"/>
  <c r="X64" i="9"/>
  <c r="W64" i="9"/>
  <c r="V64" i="9"/>
  <c r="U64" i="9"/>
  <c r="T64" i="9"/>
  <c r="S64" i="9"/>
  <c r="R64" i="9"/>
  <c r="Q64" i="9"/>
  <c r="P64" i="9"/>
  <c r="O64" i="9"/>
  <c r="N64" i="9"/>
  <c r="M64" i="9"/>
  <c r="L64" i="9"/>
  <c r="K64" i="9"/>
  <c r="J64" i="9"/>
  <c r="I64" i="9"/>
  <c r="H64" i="9"/>
  <c r="G64" i="9"/>
  <c r="F64" i="9"/>
  <c r="E64" i="9"/>
  <c r="AA63" i="9"/>
  <c r="Z63" i="9"/>
  <c r="Y63" i="9"/>
  <c r="X63" i="9"/>
  <c r="W63" i="9"/>
  <c r="V63" i="9"/>
  <c r="U63" i="9"/>
  <c r="T63" i="9"/>
  <c r="S63" i="9"/>
  <c r="R63" i="9"/>
  <c r="Q63" i="9"/>
  <c r="P63" i="9"/>
  <c r="O63" i="9"/>
  <c r="N63" i="9"/>
  <c r="M63" i="9"/>
  <c r="L63" i="9"/>
  <c r="K63" i="9"/>
  <c r="J63" i="9"/>
  <c r="I63" i="9"/>
  <c r="H63" i="9"/>
  <c r="G63" i="9"/>
  <c r="F63" i="9"/>
  <c r="E63" i="9"/>
  <c r="AA62" i="9"/>
  <c r="Z62" i="9"/>
  <c r="Y62" i="9"/>
  <c r="X62" i="9"/>
  <c r="W62" i="9"/>
  <c r="V62" i="9"/>
  <c r="U62" i="9"/>
  <c r="T62" i="9"/>
  <c r="S62" i="9"/>
  <c r="R62" i="9"/>
  <c r="Q62" i="9"/>
  <c r="P62" i="9"/>
  <c r="O62" i="9"/>
  <c r="N62" i="9"/>
  <c r="M62" i="9"/>
  <c r="L62" i="9"/>
  <c r="K62" i="9"/>
  <c r="J62" i="9"/>
  <c r="I62" i="9"/>
  <c r="H62" i="9"/>
  <c r="G62" i="9"/>
  <c r="F62" i="9"/>
  <c r="E62" i="9"/>
  <c r="AA61" i="9"/>
  <c r="Z61" i="9"/>
  <c r="Y61" i="9"/>
  <c r="X61" i="9"/>
  <c r="W61" i="9"/>
  <c r="V61" i="9"/>
  <c r="U61" i="9"/>
  <c r="T61" i="9"/>
  <c r="S61" i="9"/>
  <c r="R61" i="9"/>
  <c r="Q61" i="9"/>
  <c r="P61" i="9"/>
  <c r="O61" i="9"/>
  <c r="N61" i="9"/>
  <c r="M61" i="9"/>
  <c r="L61" i="9"/>
  <c r="K61" i="9"/>
  <c r="J61" i="9"/>
  <c r="I61" i="9"/>
  <c r="H61" i="9"/>
  <c r="G61" i="9"/>
  <c r="F61" i="9"/>
  <c r="E61" i="9"/>
  <c r="AA60" i="9"/>
  <c r="Z60" i="9"/>
  <c r="Y60" i="9"/>
  <c r="X60" i="9"/>
  <c r="W60" i="9"/>
  <c r="V60" i="9"/>
  <c r="U60" i="9"/>
  <c r="T60" i="9"/>
  <c r="S60" i="9"/>
  <c r="R60" i="9"/>
  <c r="Q60" i="9"/>
  <c r="P60" i="9"/>
  <c r="O60" i="9"/>
  <c r="N60" i="9"/>
  <c r="M60" i="9"/>
  <c r="L60" i="9"/>
  <c r="K60" i="9"/>
  <c r="J60" i="9"/>
  <c r="I60" i="9"/>
  <c r="H60" i="9"/>
  <c r="G60" i="9"/>
  <c r="F60" i="9"/>
  <c r="E60" i="9"/>
  <c r="AA59" i="9"/>
  <c r="Z59" i="9"/>
  <c r="Y59" i="9"/>
  <c r="X59" i="9"/>
  <c r="W59" i="9"/>
  <c r="V59" i="9"/>
  <c r="U59" i="9"/>
  <c r="T59" i="9"/>
  <c r="S59" i="9"/>
  <c r="R59" i="9"/>
  <c r="Q59" i="9"/>
  <c r="P59" i="9"/>
  <c r="O59" i="9"/>
  <c r="N59" i="9"/>
  <c r="M59" i="9"/>
  <c r="L59" i="9"/>
  <c r="K59" i="9"/>
  <c r="J59" i="9"/>
  <c r="I59" i="9"/>
  <c r="H59" i="9"/>
  <c r="G59" i="9"/>
  <c r="F59" i="9"/>
  <c r="E59" i="9"/>
  <c r="AA58" i="9"/>
  <c r="Z58" i="9"/>
  <c r="Y58" i="9"/>
  <c r="X58" i="9"/>
  <c r="W58" i="9"/>
  <c r="V58" i="9"/>
  <c r="U58" i="9"/>
  <c r="T58" i="9"/>
  <c r="S58" i="9"/>
  <c r="R58" i="9"/>
  <c r="Q58" i="9"/>
  <c r="P58" i="9"/>
  <c r="O58" i="9"/>
  <c r="N58" i="9"/>
  <c r="M58" i="9"/>
  <c r="L58" i="9"/>
  <c r="K58" i="9"/>
  <c r="J58" i="9"/>
  <c r="I58" i="9"/>
  <c r="H58" i="9"/>
  <c r="G58" i="9"/>
  <c r="F58" i="9"/>
  <c r="E58" i="9"/>
  <c r="AA57" i="9"/>
  <c r="Z57" i="9"/>
  <c r="Y57" i="9"/>
  <c r="X57" i="9"/>
  <c r="W57" i="9"/>
  <c r="V57" i="9"/>
  <c r="U57" i="9"/>
  <c r="T57" i="9"/>
  <c r="S57" i="9"/>
  <c r="R57" i="9"/>
  <c r="Q57" i="9"/>
  <c r="P57" i="9"/>
  <c r="O57" i="9"/>
  <c r="N57" i="9"/>
  <c r="M57" i="9"/>
  <c r="L57" i="9"/>
  <c r="K57" i="9"/>
  <c r="J57" i="9"/>
  <c r="I57" i="9"/>
  <c r="H57" i="9"/>
  <c r="G57" i="9"/>
  <c r="F57" i="9"/>
  <c r="E57" i="9"/>
  <c r="AA56" i="9"/>
  <c r="Z56" i="9"/>
  <c r="Y56" i="9"/>
  <c r="X56" i="9"/>
  <c r="W56" i="9"/>
  <c r="V56" i="9"/>
  <c r="U56" i="9"/>
  <c r="T56" i="9"/>
  <c r="S56" i="9"/>
  <c r="R56" i="9"/>
  <c r="Q56" i="9"/>
  <c r="P56" i="9"/>
  <c r="O56" i="9"/>
  <c r="N56" i="9"/>
  <c r="M56" i="9"/>
  <c r="L56" i="9"/>
  <c r="K56" i="9"/>
  <c r="J56" i="9"/>
  <c r="I56" i="9"/>
  <c r="H56" i="9"/>
  <c r="G56" i="9"/>
  <c r="F56" i="9"/>
  <c r="E56" i="9"/>
  <c r="AA55" i="9"/>
  <c r="Z55" i="9"/>
  <c r="Y55" i="9"/>
  <c r="X55" i="9"/>
  <c r="W55" i="9"/>
  <c r="V55" i="9"/>
  <c r="U55" i="9"/>
  <c r="T55" i="9"/>
  <c r="S55" i="9"/>
  <c r="R55" i="9"/>
  <c r="Q55" i="9"/>
  <c r="P55" i="9"/>
  <c r="O55" i="9"/>
  <c r="N55" i="9"/>
  <c r="M55" i="9"/>
  <c r="L55" i="9"/>
  <c r="K55" i="9"/>
  <c r="J55" i="9"/>
  <c r="I55" i="9"/>
  <c r="H55" i="9"/>
  <c r="G55" i="9"/>
  <c r="F55" i="9"/>
  <c r="E55" i="9"/>
  <c r="AA54" i="9"/>
  <c r="Z54" i="9"/>
  <c r="Y54" i="9"/>
  <c r="X54" i="9"/>
  <c r="W54" i="9"/>
  <c r="V54" i="9"/>
  <c r="U54" i="9"/>
  <c r="T54" i="9"/>
  <c r="S54" i="9"/>
  <c r="R54" i="9"/>
  <c r="Q54" i="9"/>
  <c r="P54" i="9"/>
  <c r="O54" i="9"/>
  <c r="N54" i="9"/>
  <c r="M54" i="9"/>
  <c r="L54" i="9"/>
  <c r="K54" i="9"/>
  <c r="J54" i="9"/>
  <c r="I54" i="9"/>
  <c r="H54" i="9"/>
  <c r="G54" i="9"/>
  <c r="F54" i="9"/>
  <c r="E54" i="9"/>
  <c r="AA53" i="9"/>
  <c r="Z53" i="9"/>
  <c r="Y53" i="9"/>
  <c r="X53" i="9"/>
  <c r="W53" i="9"/>
  <c r="V53" i="9"/>
  <c r="U53" i="9"/>
  <c r="T53" i="9"/>
  <c r="S53" i="9"/>
  <c r="R53" i="9"/>
  <c r="Q53" i="9"/>
  <c r="P53" i="9"/>
  <c r="O53" i="9"/>
  <c r="N53" i="9"/>
  <c r="M53" i="9"/>
  <c r="L53" i="9"/>
  <c r="K53" i="9"/>
  <c r="J53" i="9"/>
  <c r="I53" i="9"/>
  <c r="H53" i="9"/>
  <c r="G53" i="9"/>
  <c r="F53" i="9"/>
  <c r="E53" i="9"/>
  <c r="AA52" i="9"/>
  <c r="Z52" i="9"/>
  <c r="Y52" i="9"/>
  <c r="X52" i="9"/>
  <c r="W52" i="9"/>
  <c r="V52" i="9"/>
  <c r="U52" i="9"/>
  <c r="T52" i="9"/>
  <c r="S52" i="9"/>
  <c r="R52" i="9"/>
  <c r="Q52" i="9"/>
  <c r="P52" i="9"/>
  <c r="O52" i="9"/>
  <c r="N52" i="9"/>
  <c r="M52" i="9"/>
  <c r="L52" i="9"/>
  <c r="K52" i="9"/>
  <c r="J52" i="9"/>
  <c r="I52" i="9"/>
  <c r="H52" i="9"/>
  <c r="G52" i="9"/>
  <c r="F52" i="9"/>
  <c r="E52" i="9"/>
  <c r="AA51" i="9"/>
  <c r="Z51" i="9"/>
  <c r="Y51" i="9"/>
  <c r="X51" i="9"/>
  <c r="W51" i="9"/>
  <c r="V51" i="9"/>
  <c r="U51" i="9"/>
  <c r="T51" i="9"/>
  <c r="S51" i="9"/>
  <c r="R51" i="9"/>
  <c r="Q51" i="9"/>
  <c r="P51" i="9"/>
  <c r="O51" i="9"/>
  <c r="N51" i="9"/>
  <c r="M51" i="9"/>
  <c r="L51" i="9"/>
  <c r="K51" i="9"/>
  <c r="J51" i="9"/>
  <c r="I51" i="9"/>
  <c r="H51" i="9"/>
  <c r="G51" i="9"/>
  <c r="F51" i="9"/>
  <c r="E51" i="9"/>
  <c r="AA50" i="9"/>
  <c r="Z50" i="9"/>
  <c r="Y50" i="9"/>
  <c r="X50" i="9"/>
  <c r="W50" i="9"/>
  <c r="V50" i="9"/>
  <c r="U50" i="9"/>
  <c r="T50" i="9"/>
  <c r="S50" i="9"/>
  <c r="R50" i="9"/>
  <c r="Q50" i="9"/>
  <c r="P50" i="9"/>
  <c r="O50" i="9"/>
  <c r="N50" i="9"/>
  <c r="M50" i="9"/>
  <c r="L50" i="9"/>
  <c r="K50" i="9"/>
  <c r="J50" i="9"/>
  <c r="I50" i="9"/>
  <c r="H50" i="9"/>
  <c r="G50" i="9"/>
  <c r="F50" i="9"/>
  <c r="E50" i="9"/>
  <c r="AA49" i="9"/>
  <c r="Z49" i="9"/>
  <c r="Y49" i="9"/>
  <c r="X49" i="9"/>
  <c r="W49" i="9"/>
  <c r="V49" i="9"/>
  <c r="U49" i="9"/>
  <c r="T49" i="9"/>
  <c r="S49" i="9"/>
  <c r="R49" i="9"/>
  <c r="Q49" i="9"/>
  <c r="P49" i="9"/>
  <c r="O49" i="9"/>
  <c r="N49" i="9"/>
  <c r="M49" i="9"/>
  <c r="L49" i="9"/>
  <c r="K49" i="9"/>
  <c r="J49" i="9"/>
  <c r="I49" i="9"/>
  <c r="H49" i="9"/>
  <c r="G49" i="9"/>
  <c r="F49" i="9"/>
  <c r="E49" i="9"/>
  <c r="AA48" i="9"/>
  <c r="Z48" i="9"/>
  <c r="Y48" i="9"/>
  <c r="X48" i="9"/>
  <c r="W48" i="9"/>
  <c r="V48" i="9"/>
  <c r="U48" i="9"/>
  <c r="T48" i="9"/>
  <c r="S48" i="9"/>
  <c r="R48" i="9"/>
  <c r="Q48" i="9"/>
  <c r="P48" i="9"/>
  <c r="O48" i="9"/>
  <c r="N48" i="9"/>
  <c r="M48" i="9"/>
  <c r="L48" i="9"/>
  <c r="K48" i="9"/>
  <c r="J48" i="9"/>
  <c r="I48" i="9"/>
  <c r="H48" i="9"/>
  <c r="G48" i="9"/>
  <c r="F48" i="9"/>
  <c r="E48" i="9"/>
  <c r="AA47" i="9"/>
  <c r="Z47" i="9"/>
  <c r="Y47" i="9"/>
  <c r="X47" i="9"/>
  <c r="W47" i="9"/>
  <c r="V47" i="9"/>
  <c r="U47" i="9"/>
  <c r="T47" i="9"/>
  <c r="S47" i="9"/>
  <c r="R47" i="9"/>
  <c r="Q47" i="9"/>
  <c r="P47" i="9"/>
  <c r="O47" i="9"/>
  <c r="N47" i="9"/>
  <c r="M47" i="9"/>
  <c r="L47" i="9"/>
  <c r="K47" i="9"/>
  <c r="J47" i="9"/>
  <c r="I47" i="9"/>
  <c r="H47" i="9"/>
  <c r="G47" i="9"/>
  <c r="F47" i="9"/>
  <c r="E47" i="9"/>
  <c r="AA46" i="9"/>
  <c r="Z46" i="9"/>
  <c r="Y46" i="9"/>
  <c r="X46" i="9"/>
  <c r="W46" i="9"/>
  <c r="V46" i="9"/>
  <c r="U46" i="9"/>
  <c r="T46" i="9"/>
  <c r="S46" i="9"/>
  <c r="R46" i="9"/>
  <c r="Q46" i="9"/>
  <c r="P46" i="9"/>
  <c r="O46" i="9"/>
  <c r="N46" i="9"/>
  <c r="M46" i="9"/>
  <c r="L46" i="9"/>
  <c r="K46" i="9"/>
  <c r="J46" i="9"/>
  <c r="I46" i="9"/>
  <c r="H46" i="9"/>
  <c r="G46" i="9"/>
  <c r="F46" i="9"/>
  <c r="E46" i="9"/>
  <c r="AA45" i="9"/>
  <c r="Z45" i="9"/>
  <c r="Y45" i="9"/>
  <c r="X45" i="9"/>
  <c r="W45" i="9"/>
  <c r="V45" i="9"/>
  <c r="U45" i="9"/>
  <c r="T45" i="9"/>
  <c r="S45" i="9"/>
  <c r="R45" i="9"/>
  <c r="Q45" i="9"/>
  <c r="P45" i="9"/>
  <c r="O45" i="9"/>
  <c r="N45" i="9"/>
  <c r="M45" i="9"/>
  <c r="L45" i="9"/>
  <c r="K45" i="9"/>
  <c r="J45" i="9"/>
  <c r="I45" i="9"/>
  <c r="H45" i="9"/>
  <c r="G45" i="9"/>
  <c r="F45" i="9"/>
  <c r="E45" i="9"/>
  <c r="AA44" i="9"/>
  <c r="Z44" i="9"/>
  <c r="Y44" i="9"/>
  <c r="X44" i="9"/>
  <c r="W44" i="9"/>
  <c r="V44" i="9"/>
  <c r="U44" i="9"/>
  <c r="T44" i="9"/>
  <c r="S44" i="9"/>
  <c r="R44" i="9"/>
  <c r="Q44" i="9"/>
  <c r="P44" i="9"/>
  <c r="O44" i="9"/>
  <c r="N44" i="9"/>
  <c r="M44" i="9"/>
  <c r="L44" i="9"/>
  <c r="K44" i="9"/>
  <c r="J44" i="9"/>
  <c r="I44" i="9"/>
  <c r="H44" i="9"/>
  <c r="G44" i="9"/>
  <c r="F44" i="9"/>
  <c r="E44" i="9"/>
  <c r="AA43" i="9"/>
  <c r="Z43" i="9"/>
  <c r="Y43" i="9"/>
  <c r="X43" i="9"/>
  <c r="W43" i="9"/>
  <c r="V43" i="9"/>
  <c r="U43" i="9"/>
  <c r="T43" i="9"/>
  <c r="S43" i="9"/>
  <c r="R43" i="9"/>
  <c r="Q43" i="9"/>
  <c r="P43" i="9"/>
  <c r="O43" i="9"/>
  <c r="N43" i="9"/>
  <c r="M43" i="9"/>
  <c r="L43" i="9"/>
  <c r="K43" i="9"/>
  <c r="J43" i="9"/>
  <c r="I43" i="9"/>
  <c r="H43" i="9"/>
  <c r="G43" i="9"/>
  <c r="F43" i="9"/>
  <c r="E43" i="9"/>
  <c r="AA42" i="9"/>
  <c r="Z42" i="9"/>
  <c r="Y42" i="9"/>
  <c r="X42" i="9"/>
  <c r="W42" i="9"/>
  <c r="V42" i="9"/>
  <c r="U42" i="9"/>
  <c r="T42" i="9"/>
  <c r="S42" i="9"/>
  <c r="R42" i="9"/>
  <c r="Q42" i="9"/>
  <c r="P42" i="9"/>
  <c r="O42" i="9"/>
  <c r="N42" i="9"/>
  <c r="M42" i="9"/>
  <c r="L42" i="9"/>
  <c r="K42" i="9"/>
  <c r="J42" i="9"/>
  <c r="I42" i="9"/>
  <c r="H42" i="9"/>
  <c r="G42" i="9"/>
  <c r="F42" i="9"/>
  <c r="E42" i="9"/>
  <c r="AA41" i="9"/>
  <c r="Z41" i="9"/>
  <c r="Y41" i="9"/>
  <c r="X41" i="9"/>
  <c r="W41" i="9"/>
  <c r="V41" i="9"/>
  <c r="U41" i="9"/>
  <c r="T41" i="9"/>
  <c r="S41" i="9"/>
  <c r="R41" i="9"/>
  <c r="Q41" i="9"/>
  <c r="P41" i="9"/>
  <c r="O41" i="9"/>
  <c r="N41" i="9"/>
  <c r="M41" i="9"/>
  <c r="L41" i="9"/>
  <c r="K41" i="9"/>
  <c r="J41" i="9"/>
  <c r="I41" i="9"/>
  <c r="H41" i="9"/>
  <c r="G41" i="9"/>
  <c r="F41" i="9"/>
  <c r="E41" i="9"/>
  <c r="AA40" i="9"/>
  <c r="Z40" i="9"/>
  <c r="Y40" i="9"/>
  <c r="X40" i="9"/>
  <c r="W40" i="9"/>
  <c r="V40" i="9"/>
  <c r="U40" i="9"/>
  <c r="T40" i="9"/>
  <c r="S40" i="9"/>
  <c r="R40" i="9"/>
  <c r="Q40" i="9"/>
  <c r="P40" i="9"/>
  <c r="O40" i="9"/>
  <c r="N40" i="9"/>
  <c r="M40" i="9"/>
  <c r="L40" i="9"/>
  <c r="K40" i="9"/>
  <c r="J40" i="9"/>
  <c r="I40" i="9"/>
  <c r="H40" i="9"/>
  <c r="G40" i="9"/>
  <c r="F40" i="9"/>
  <c r="E40" i="9"/>
  <c r="AA39" i="9"/>
  <c r="Z39" i="9"/>
  <c r="Y39" i="9"/>
  <c r="X39" i="9"/>
  <c r="W39" i="9"/>
  <c r="V39" i="9"/>
  <c r="U39" i="9"/>
  <c r="T39" i="9"/>
  <c r="S39" i="9"/>
  <c r="R39" i="9"/>
  <c r="Q39" i="9"/>
  <c r="P39" i="9"/>
  <c r="O39" i="9"/>
  <c r="N39" i="9"/>
  <c r="M39" i="9"/>
  <c r="L39" i="9"/>
  <c r="K39" i="9"/>
  <c r="J39" i="9"/>
  <c r="I39" i="9"/>
  <c r="H39" i="9"/>
  <c r="G39" i="9"/>
  <c r="F39" i="9"/>
  <c r="E39" i="9"/>
  <c r="AA38" i="9"/>
  <c r="Z38" i="9"/>
  <c r="Y38" i="9"/>
  <c r="X38" i="9"/>
  <c r="W38" i="9"/>
  <c r="V38" i="9"/>
  <c r="U38" i="9"/>
  <c r="T38" i="9"/>
  <c r="S38" i="9"/>
  <c r="R38" i="9"/>
  <c r="Q38" i="9"/>
  <c r="P38" i="9"/>
  <c r="O38" i="9"/>
  <c r="N38" i="9"/>
  <c r="M38" i="9"/>
  <c r="L38" i="9"/>
  <c r="K38" i="9"/>
  <c r="J38" i="9"/>
  <c r="I38" i="9"/>
  <c r="H38" i="9"/>
  <c r="G38" i="9"/>
  <c r="F38" i="9"/>
  <c r="E38" i="9"/>
  <c r="AA37" i="9"/>
  <c r="Z37" i="9"/>
  <c r="Y37" i="9"/>
  <c r="X37" i="9"/>
  <c r="W37" i="9"/>
  <c r="V37" i="9"/>
  <c r="U37" i="9"/>
  <c r="T37" i="9"/>
  <c r="S37" i="9"/>
  <c r="R37" i="9"/>
  <c r="Q37" i="9"/>
  <c r="P37" i="9"/>
  <c r="O37" i="9"/>
  <c r="N37" i="9"/>
  <c r="M37" i="9"/>
  <c r="L37" i="9"/>
  <c r="K37" i="9"/>
  <c r="J37" i="9"/>
  <c r="I37" i="9"/>
  <c r="H37" i="9"/>
  <c r="G37" i="9"/>
  <c r="F37" i="9"/>
  <c r="E37" i="9"/>
  <c r="AA36" i="9"/>
  <c r="Z36" i="9"/>
  <c r="Y36" i="9"/>
  <c r="X36" i="9"/>
  <c r="W36" i="9"/>
  <c r="V36" i="9"/>
  <c r="U36" i="9"/>
  <c r="T36" i="9"/>
  <c r="S36" i="9"/>
  <c r="R36" i="9"/>
  <c r="Q36" i="9"/>
  <c r="P36" i="9"/>
  <c r="O36" i="9"/>
  <c r="N36" i="9"/>
  <c r="M36" i="9"/>
  <c r="L36" i="9"/>
  <c r="K36" i="9"/>
  <c r="J36" i="9"/>
  <c r="I36" i="9"/>
  <c r="H36" i="9"/>
  <c r="G36" i="9"/>
  <c r="F36" i="9"/>
  <c r="E36" i="9"/>
  <c r="AA35" i="9"/>
  <c r="Z35" i="9"/>
  <c r="Y35" i="9"/>
  <c r="X35" i="9"/>
  <c r="W35" i="9"/>
  <c r="V35" i="9"/>
  <c r="U35" i="9"/>
  <c r="T35" i="9"/>
  <c r="S35" i="9"/>
  <c r="R35" i="9"/>
  <c r="Q35" i="9"/>
  <c r="P35" i="9"/>
  <c r="O35" i="9"/>
  <c r="N35" i="9"/>
  <c r="M35" i="9"/>
  <c r="L35" i="9"/>
  <c r="K35" i="9"/>
  <c r="J35" i="9"/>
  <c r="I35" i="9"/>
  <c r="H35" i="9"/>
  <c r="G35" i="9"/>
  <c r="F35" i="9"/>
  <c r="E35" i="9"/>
  <c r="AA34" i="9"/>
  <c r="Z34" i="9"/>
  <c r="Y34" i="9"/>
  <c r="X34" i="9"/>
  <c r="W34" i="9"/>
  <c r="V34" i="9"/>
  <c r="U34" i="9"/>
  <c r="T34" i="9"/>
  <c r="S34" i="9"/>
  <c r="R34" i="9"/>
  <c r="Q34" i="9"/>
  <c r="P34" i="9"/>
  <c r="O34" i="9"/>
  <c r="N34" i="9"/>
  <c r="M34" i="9"/>
  <c r="L34" i="9"/>
  <c r="K34" i="9"/>
  <c r="J34" i="9"/>
  <c r="I34" i="9"/>
  <c r="H34" i="9"/>
  <c r="G34" i="9"/>
  <c r="F34" i="9"/>
  <c r="E34" i="9"/>
  <c r="AA33" i="9"/>
  <c r="Z33" i="9"/>
  <c r="Y33" i="9"/>
  <c r="X33" i="9"/>
  <c r="W33" i="9"/>
  <c r="V33" i="9"/>
  <c r="U33" i="9"/>
  <c r="T33" i="9"/>
  <c r="S33" i="9"/>
  <c r="R33" i="9"/>
  <c r="Q33" i="9"/>
  <c r="P33" i="9"/>
  <c r="O33" i="9"/>
  <c r="N33" i="9"/>
  <c r="M33" i="9"/>
  <c r="L33" i="9"/>
  <c r="K33" i="9"/>
  <c r="J33" i="9"/>
  <c r="I33" i="9"/>
  <c r="H33" i="9"/>
  <c r="G33" i="9"/>
  <c r="F33" i="9"/>
  <c r="E33" i="9"/>
  <c r="AA32" i="9"/>
  <c r="Z32" i="9"/>
  <c r="Y32" i="9"/>
  <c r="X32" i="9"/>
  <c r="W32" i="9"/>
  <c r="V32" i="9"/>
  <c r="U32" i="9"/>
  <c r="T32" i="9"/>
  <c r="S32" i="9"/>
  <c r="R32" i="9"/>
  <c r="Q32" i="9"/>
  <c r="P32" i="9"/>
  <c r="O32" i="9"/>
  <c r="N32" i="9"/>
  <c r="M32" i="9"/>
  <c r="L32" i="9"/>
  <c r="K32" i="9"/>
  <c r="J32" i="9"/>
  <c r="I32" i="9"/>
  <c r="H32" i="9"/>
  <c r="G32" i="9"/>
  <c r="F32" i="9"/>
  <c r="E32" i="9"/>
  <c r="AA31" i="9"/>
  <c r="Z31" i="9"/>
  <c r="Y31" i="9"/>
  <c r="X31" i="9"/>
  <c r="W31" i="9"/>
  <c r="V31" i="9"/>
  <c r="U31" i="9"/>
  <c r="T31" i="9"/>
  <c r="S31" i="9"/>
  <c r="R31" i="9"/>
  <c r="Q31" i="9"/>
  <c r="P31" i="9"/>
  <c r="O31" i="9"/>
  <c r="N31" i="9"/>
  <c r="M31" i="9"/>
  <c r="L31" i="9"/>
  <c r="K31" i="9"/>
  <c r="J31" i="9"/>
  <c r="I31" i="9"/>
  <c r="H31" i="9"/>
  <c r="G31" i="9"/>
  <c r="F31" i="9"/>
  <c r="E31" i="9"/>
  <c r="AA30" i="9"/>
  <c r="Z30" i="9"/>
  <c r="Y30" i="9"/>
  <c r="X30" i="9"/>
  <c r="W30" i="9"/>
  <c r="V30" i="9"/>
  <c r="U30" i="9"/>
  <c r="T30" i="9"/>
  <c r="S30" i="9"/>
  <c r="R30" i="9"/>
  <c r="Q30" i="9"/>
  <c r="P30" i="9"/>
  <c r="O30" i="9"/>
  <c r="N30" i="9"/>
  <c r="M30" i="9"/>
  <c r="L30" i="9"/>
  <c r="K30" i="9"/>
  <c r="J30" i="9"/>
  <c r="I30" i="9"/>
  <c r="H30" i="9"/>
  <c r="G30" i="9"/>
  <c r="F30" i="9"/>
  <c r="E30" i="9"/>
  <c r="AA29" i="9"/>
  <c r="Z29" i="9"/>
  <c r="Y29" i="9"/>
  <c r="X29" i="9"/>
  <c r="W29" i="9"/>
  <c r="V29" i="9"/>
  <c r="U29" i="9"/>
  <c r="T29" i="9"/>
  <c r="S29" i="9"/>
  <c r="R29" i="9"/>
  <c r="Q29" i="9"/>
  <c r="P29" i="9"/>
  <c r="O29" i="9"/>
  <c r="N29" i="9"/>
  <c r="M29" i="9"/>
  <c r="L29" i="9"/>
  <c r="K29" i="9"/>
  <c r="J29" i="9"/>
  <c r="I29" i="9"/>
  <c r="H29" i="9"/>
  <c r="G29" i="9"/>
  <c r="F29" i="9"/>
  <c r="E29" i="9"/>
  <c r="AA28" i="9"/>
  <c r="Z28" i="9"/>
  <c r="Y28" i="9"/>
  <c r="X28" i="9"/>
  <c r="W28" i="9"/>
  <c r="V28" i="9"/>
  <c r="U28" i="9"/>
  <c r="T28" i="9"/>
  <c r="S28" i="9"/>
  <c r="R28" i="9"/>
  <c r="Q28" i="9"/>
  <c r="P28" i="9"/>
  <c r="O28" i="9"/>
  <c r="N28" i="9"/>
  <c r="M28" i="9"/>
  <c r="L28" i="9"/>
  <c r="K28" i="9"/>
  <c r="J28" i="9"/>
  <c r="I28" i="9"/>
  <c r="H28" i="9"/>
  <c r="G28" i="9"/>
  <c r="F28" i="9"/>
  <c r="E28" i="9"/>
  <c r="AA27" i="9"/>
  <c r="Z27" i="9"/>
  <c r="Y27" i="9"/>
  <c r="X27" i="9"/>
  <c r="W27" i="9"/>
  <c r="V27" i="9"/>
  <c r="U27" i="9"/>
  <c r="T27" i="9"/>
  <c r="S27" i="9"/>
  <c r="R27" i="9"/>
  <c r="Q27" i="9"/>
  <c r="P27" i="9"/>
  <c r="O27" i="9"/>
  <c r="N27" i="9"/>
  <c r="M27" i="9"/>
  <c r="L27" i="9"/>
  <c r="K27" i="9"/>
  <c r="J27" i="9"/>
  <c r="I27" i="9"/>
  <c r="H27" i="9"/>
  <c r="G27" i="9"/>
  <c r="F27" i="9"/>
  <c r="E27" i="9"/>
  <c r="AA26" i="9"/>
  <c r="Z26" i="9"/>
  <c r="Y26" i="9"/>
  <c r="X26" i="9"/>
  <c r="W26" i="9"/>
  <c r="V26" i="9"/>
  <c r="U26" i="9"/>
  <c r="T26" i="9"/>
  <c r="S26" i="9"/>
  <c r="R26" i="9"/>
  <c r="Q26" i="9"/>
  <c r="P26" i="9"/>
  <c r="O26" i="9"/>
  <c r="N26" i="9"/>
  <c r="M26" i="9"/>
  <c r="L26" i="9"/>
  <c r="K26" i="9"/>
  <c r="J26" i="9"/>
  <c r="I26" i="9"/>
  <c r="H26" i="9"/>
  <c r="G26" i="9"/>
  <c r="F26" i="9"/>
  <c r="E26" i="9"/>
  <c r="AA25" i="9"/>
  <c r="Z25" i="9"/>
  <c r="Y25" i="9"/>
  <c r="X25" i="9"/>
  <c r="W25" i="9"/>
  <c r="V25" i="9"/>
  <c r="U25" i="9"/>
  <c r="T25" i="9"/>
  <c r="S25" i="9"/>
  <c r="R25" i="9"/>
  <c r="Q25" i="9"/>
  <c r="P25" i="9"/>
  <c r="O25" i="9"/>
  <c r="N25" i="9"/>
  <c r="M25" i="9"/>
  <c r="L25" i="9"/>
  <c r="K25" i="9"/>
  <c r="J25" i="9"/>
  <c r="I25" i="9"/>
  <c r="H25" i="9"/>
  <c r="G25" i="9"/>
  <c r="F25" i="9"/>
  <c r="E25" i="9"/>
  <c r="AA24" i="9"/>
  <c r="Z24" i="9"/>
  <c r="Y24" i="9"/>
  <c r="X24" i="9"/>
  <c r="W24" i="9"/>
  <c r="V24" i="9"/>
  <c r="U24" i="9"/>
  <c r="T24" i="9"/>
  <c r="S24" i="9"/>
  <c r="R24" i="9"/>
  <c r="Q24" i="9"/>
  <c r="P24" i="9"/>
  <c r="O24" i="9"/>
  <c r="N24" i="9"/>
  <c r="M24" i="9"/>
  <c r="L24" i="9"/>
  <c r="K24" i="9"/>
  <c r="J24" i="9"/>
  <c r="I24" i="9"/>
  <c r="H24" i="9"/>
  <c r="G24" i="9"/>
  <c r="F24" i="9"/>
  <c r="E24" i="9"/>
  <c r="AA23" i="9"/>
  <c r="Z23" i="9"/>
  <c r="Y23" i="9"/>
  <c r="X23" i="9"/>
  <c r="W23" i="9"/>
  <c r="V23" i="9"/>
  <c r="U23" i="9"/>
  <c r="T23" i="9"/>
  <c r="S23" i="9"/>
  <c r="R23" i="9"/>
  <c r="Q23" i="9"/>
  <c r="P23" i="9"/>
  <c r="O23" i="9"/>
  <c r="N23" i="9"/>
  <c r="M23" i="9"/>
  <c r="L23" i="9"/>
  <c r="K23" i="9"/>
  <c r="J23" i="9"/>
  <c r="I23" i="9"/>
  <c r="H23" i="9"/>
  <c r="G23" i="9"/>
  <c r="F23" i="9"/>
  <c r="E23" i="9"/>
  <c r="AA22" i="9"/>
  <c r="Z22" i="9"/>
  <c r="Y22" i="9"/>
  <c r="X22" i="9"/>
  <c r="W22" i="9"/>
  <c r="V22" i="9"/>
  <c r="U22" i="9"/>
  <c r="T22" i="9"/>
  <c r="S22" i="9"/>
  <c r="R22" i="9"/>
  <c r="Q22" i="9"/>
  <c r="P22" i="9"/>
  <c r="O22" i="9"/>
  <c r="N22" i="9"/>
  <c r="M22" i="9"/>
  <c r="L22" i="9"/>
  <c r="K22" i="9"/>
  <c r="J22" i="9"/>
  <c r="I22" i="9"/>
  <c r="H22" i="9"/>
  <c r="G22" i="9"/>
  <c r="F22" i="9"/>
  <c r="E22" i="9"/>
  <c r="AA21" i="9"/>
  <c r="Z21" i="9"/>
  <c r="Y21" i="9"/>
  <c r="X21" i="9"/>
  <c r="W21" i="9"/>
  <c r="V21" i="9"/>
  <c r="U21" i="9"/>
  <c r="T21" i="9"/>
  <c r="S21" i="9"/>
  <c r="R21" i="9"/>
  <c r="Q21" i="9"/>
  <c r="P21" i="9"/>
  <c r="O21" i="9"/>
  <c r="N21" i="9"/>
  <c r="M21" i="9"/>
  <c r="L21" i="9"/>
  <c r="K21" i="9"/>
  <c r="J21" i="9"/>
  <c r="I21" i="9"/>
  <c r="H21" i="9"/>
  <c r="G21" i="9"/>
  <c r="F21" i="9"/>
  <c r="E21" i="9"/>
  <c r="AA20" i="9"/>
  <c r="Z20" i="9"/>
  <c r="Y20" i="9"/>
  <c r="X20" i="9"/>
  <c r="W20" i="9"/>
  <c r="V20" i="9"/>
  <c r="U20" i="9"/>
  <c r="T20" i="9"/>
  <c r="S20" i="9"/>
  <c r="R20" i="9"/>
  <c r="Q20" i="9"/>
  <c r="P20" i="9"/>
  <c r="O20" i="9"/>
  <c r="N20" i="9"/>
  <c r="M20" i="9"/>
  <c r="L20" i="9"/>
  <c r="K20" i="9"/>
  <c r="J20" i="9"/>
  <c r="I20" i="9"/>
  <c r="H20" i="9"/>
  <c r="G20" i="9"/>
  <c r="F20" i="9"/>
  <c r="E20" i="9"/>
  <c r="AA19" i="9"/>
  <c r="Z19" i="9"/>
  <c r="Y19" i="9"/>
  <c r="X19" i="9"/>
  <c r="W19" i="9"/>
  <c r="V19" i="9"/>
  <c r="U19" i="9"/>
  <c r="T19" i="9"/>
  <c r="S19" i="9"/>
  <c r="R19" i="9"/>
  <c r="Q19" i="9"/>
  <c r="P19" i="9"/>
  <c r="O19" i="9"/>
  <c r="N19" i="9"/>
  <c r="M19" i="9"/>
  <c r="L19" i="9"/>
  <c r="K19" i="9"/>
  <c r="J19" i="9"/>
  <c r="I19" i="9"/>
  <c r="H19" i="9"/>
  <c r="G19" i="9"/>
  <c r="F19" i="9"/>
  <c r="E19" i="9"/>
  <c r="AA18" i="9"/>
  <c r="Z18" i="9"/>
  <c r="Y18" i="9"/>
  <c r="X18" i="9"/>
  <c r="W18" i="9"/>
  <c r="V18" i="9"/>
  <c r="U18" i="9"/>
  <c r="T18" i="9"/>
  <c r="S18" i="9"/>
  <c r="R18" i="9"/>
  <c r="Q18" i="9"/>
  <c r="P18" i="9"/>
  <c r="O18" i="9"/>
  <c r="N18" i="9"/>
  <c r="M18" i="9"/>
  <c r="L18" i="9"/>
  <c r="K18" i="9"/>
  <c r="J18" i="9"/>
  <c r="I18" i="9"/>
  <c r="H18" i="9"/>
  <c r="G18" i="9"/>
  <c r="F18" i="9"/>
  <c r="E18" i="9"/>
  <c r="AA17" i="9"/>
  <c r="Z17" i="9"/>
  <c r="Y17" i="9"/>
  <c r="X17" i="9"/>
  <c r="W17" i="9"/>
  <c r="V17" i="9"/>
  <c r="U17" i="9"/>
  <c r="T17" i="9"/>
  <c r="S17" i="9"/>
  <c r="R17" i="9"/>
  <c r="Q17" i="9"/>
  <c r="P17" i="9"/>
  <c r="O17" i="9"/>
  <c r="N17" i="9"/>
  <c r="M17" i="9"/>
  <c r="L17" i="9"/>
  <c r="K17" i="9"/>
  <c r="J17" i="9"/>
  <c r="I17" i="9"/>
  <c r="H17" i="9"/>
  <c r="G17" i="9"/>
  <c r="F17" i="9"/>
  <c r="E17" i="9"/>
  <c r="AA16" i="9"/>
  <c r="Z16" i="9"/>
  <c r="Y16" i="9"/>
  <c r="X16" i="9"/>
  <c r="W16" i="9"/>
  <c r="V16" i="9"/>
  <c r="U16" i="9"/>
  <c r="T16" i="9"/>
  <c r="S16" i="9"/>
  <c r="R16" i="9"/>
  <c r="Q16" i="9"/>
  <c r="P16" i="9"/>
  <c r="O16" i="9"/>
  <c r="N16" i="9"/>
  <c r="M16" i="9"/>
  <c r="L16" i="9"/>
  <c r="K16" i="9"/>
  <c r="J16" i="9"/>
  <c r="I16" i="9"/>
  <c r="H16" i="9"/>
  <c r="G16" i="9"/>
  <c r="F16" i="9"/>
  <c r="E16" i="9"/>
  <c r="AA15" i="9"/>
  <c r="Z15" i="9"/>
  <c r="Y15" i="9"/>
  <c r="X15" i="9"/>
  <c r="W15" i="9"/>
  <c r="V15" i="9"/>
  <c r="U15" i="9"/>
  <c r="T15" i="9"/>
  <c r="S15" i="9"/>
  <c r="R15" i="9"/>
  <c r="Q15" i="9"/>
  <c r="P15" i="9"/>
  <c r="O15" i="9"/>
  <c r="N15" i="9"/>
  <c r="M15" i="9"/>
  <c r="L15" i="9"/>
  <c r="K15" i="9"/>
  <c r="J15" i="9"/>
  <c r="I15" i="9"/>
  <c r="H15" i="9"/>
  <c r="G15" i="9"/>
  <c r="F15" i="9"/>
  <c r="E15" i="9"/>
  <c r="AA14" i="9"/>
  <c r="Z14" i="9"/>
  <c r="Y14" i="9"/>
  <c r="X14" i="9"/>
  <c r="W14" i="9"/>
  <c r="V14" i="9"/>
  <c r="U14" i="9"/>
  <c r="T14" i="9"/>
  <c r="S14" i="9"/>
  <c r="R14" i="9"/>
  <c r="Q14" i="9"/>
  <c r="P14" i="9"/>
  <c r="O14" i="9"/>
  <c r="N14" i="9"/>
  <c r="M14" i="9"/>
  <c r="L14" i="9"/>
  <c r="K14" i="9"/>
  <c r="J14" i="9"/>
  <c r="I14" i="9"/>
  <c r="H14" i="9"/>
  <c r="G14" i="9"/>
  <c r="F14" i="9"/>
  <c r="E14" i="9"/>
  <c r="AA13" i="9"/>
  <c r="Z13" i="9"/>
  <c r="Y13" i="9"/>
  <c r="X13" i="9"/>
  <c r="W13" i="9"/>
  <c r="V13" i="9"/>
  <c r="U13" i="9"/>
  <c r="T13" i="9"/>
  <c r="S13" i="9"/>
  <c r="R13" i="9"/>
  <c r="Q13" i="9"/>
  <c r="P13" i="9"/>
  <c r="O13" i="9"/>
  <c r="N13" i="9"/>
  <c r="M13" i="9"/>
  <c r="L13" i="9"/>
  <c r="K13" i="9"/>
  <c r="J13" i="9"/>
  <c r="I13" i="9"/>
  <c r="H13" i="9"/>
  <c r="G13" i="9"/>
  <c r="F13" i="9"/>
  <c r="E13" i="9"/>
  <c r="AA12" i="9"/>
  <c r="Z12" i="9"/>
  <c r="Y12" i="9"/>
  <c r="X12" i="9"/>
  <c r="W12" i="9"/>
  <c r="V12" i="9"/>
  <c r="U12" i="9"/>
  <c r="T12" i="9"/>
  <c r="S12" i="9"/>
  <c r="R12" i="9"/>
  <c r="Q12" i="9"/>
  <c r="P12" i="9"/>
  <c r="O12" i="9"/>
  <c r="N12" i="9"/>
  <c r="M12" i="9"/>
  <c r="L12" i="9"/>
  <c r="K12" i="9"/>
  <c r="J12" i="9"/>
  <c r="I12" i="9"/>
  <c r="H12" i="9"/>
  <c r="G12" i="9"/>
  <c r="F12" i="9"/>
  <c r="E12" i="9"/>
  <c r="AA11" i="9"/>
  <c r="Z11" i="9"/>
  <c r="Y11" i="9"/>
  <c r="X11" i="9"/>
  <c r="W11" i="9"/>
  <c r="V11" i="9"/>
  <c r="U11" i="9"/>
  <c r="T11" i="9"/>
  <c r="S11" i="9"/>
  <c r="R11" i="9"/>
  <c r="Q11" i="9"/>
  <c r="P11" i="9"/>
  <c r="O11" i="9"/>
  <c r="N11" i="9"/>
  <c r="M11" i="9"/>
  <c r="L11" i="9"/>
  <c r="K11" i="9"/>
  <c r="J11" i="9"/>
  <c r="I11" i="9"/>
  <c r="H11" i="9"/>
  <c r="G11" i="9"/>
  <c r="F11" i="9"/>
  <c r="E11" i="9"/>
  <c r="AA10" i="9"/>
  <c r="Z10" i="9"/>
  <c r="Y10" i="9"/>
  <c r="X10" i="9"/>
  <c r="W10" i="9"/>
  <c r="V10" i="9"/>
  <c r="U10" i="9"/>
  <c r="T10" i="9"/>
  <c r="S10" i="9"/>
  <c r="R10" i="9"/>
  <c r="Q10" i="9"/>
  <c r="P10" i="9"/>
  <c r="O10" i="9"/>
  <c r="N10" i="9"/>
  <c r="M10" i="9"/>
  <c r="L10" i="9"/>
  <c r="K10" i="9"/>
  <c r="J10" i="9"/>
  <c r="I10" i="9"/>
  <c r="H10" i="9"/>
  <c r="G10" i="9"/>
  <c r="F10" i="9"/>
  <c r="E10" i="9"/>
  <c r="AA9" i="9"/>
  <c r="Z9" i="9"/>
  <c r="Y9" i="9"/>
  <c r="X9" i="9"/>
  <c r="W9" i="9"/>
  <c r="V9" i="9"/>
  <c r="U9" i="9"/>
  <c r="T9" i="9"/>
  <c r="S9" i="9"/>
  <c r="R9" i="9"/>
  <c r="Q9" i="9"/>
  <c r="P9" i="9"/>
  <c r="O9" i="9"/>
  <c r="N9" i="9"/>
  <c r="M9" i="9"/>
  <c r="L9" i="9"/>
  <c r="K9" i="9"/>
  <c r="J9" i="9"/>
  <c r="I9" i="9"/>
  <c r="H9" i="9"/>
  <c r="G9" i="9"/>
  <c r="F9" i="9"/>
  <c r="E9" i="9"/>
  <c r="AA8" i="9"/>
  <c r="Z8" i="9"/>
  <c r="Y8" i="9"/>
  <c r="X8" i="9"/>
  <c r="W8" i="9"/>
  <c r="V8" i="9"/>
  <c r="U8" i="9"/>
  <c r="T8" i="9"/>
  <c r="S8" i="9"/>
  <c r="R8" i="9"/>
  <c r="Q8" i="9"/>
  <c r="P8" i="9"/>
  <c r="O8" i="9"/>
  <c r="N8" i="9"/>
  <c r="M8" i="9"/>
  <c r="L8" i="9"/>
  <c r="K8" i="9"/>
  <c r="J8" i="9"/>
  <c r="I8" i="9"/>
  <c r="H8" i="9"/>
  <c r="G8" i="9"/>
  <c r="F8" i="9"/>
  <c r="E8" i="9"/>
  <c r="AA7" i="9"/>
  <c r="Z7" i="9"/>
  <c r="Y7" i="9"/>
  <c r="X7" i="9"/>
  <c r="W7" i="9"/>
  <c r="V7" i="9"/>
  <c r="U7" i="9"/>
  <c r="T7" i="9"/>
  <c r="S7" i="9"/>
  <c r="R7" i="9"/>
  <c r="Q7" i="9"/>
  <c r="P7" i="9"/>
  <c r="O7" i="9"/>
  <c r="N7" i="9"/>
  <c r="M7" i="9"/>
  <c r="L7" i="9"/>
  <c r="K7" i="9"/>
  <c r="J7" i="9"/>
  <c r="I7" i="9"/>
  <c r="H7" i="9"/>
  <c r="G7" i="9"/>
  <c r="F7" i="9"/>
  <c r="E7" i="9"/>
  <c r="AA5" i="9"/>
  <c r="Z5" i="9"/>
  <c r="Y5" i="9"/>
  <c r="X5" i="9"/>
  <c r="W5" i="9"/>
  <c r="V5" i="9"/>
  <c r="U5" i="9"/>
  <c r="T5" i="9"/>
  <c r="S5" i="9"/>
  <c r="R5" i="9"/>
  <c r="Q5" i="9"/>
  <c r="P5" i="9"/>
  <c r="O5" i="9"/>
  <c r="N5" i="9"/>
  <c r="M5" i="9"/>
  <c r="L5" i="9"/>
  <c r="K5" i="9"/>
  <c r="J5" i="9"/>
  <c r="I5" i="9"/>
  <c r="H5" i="9"/>
  <c r="G5" i="9"/>
  <c r="F5" i="9"/>
  <c r="E5" i="9"/>
  <c r="C99" i="9"/>
  <c r="B99" i="9"/>
  <c r="C98" i="9"/>
  <c r="B98" i="9"/>
  <c r="C97" i="9"/>
  <c r="B97" i="9"/>
  <c r="C96" i="9"/>
  <c r="B96" i="9"/>
  <c r="C95" i="9"/>
  <c r="B95" i="9"/>
  <c r="C94" i="9"/>
  <c r="B94" i="9"/>
  <c r="C93" i="9"/>
  <c r="B93" i="9"/>
  <c r="C92" i="9"/>
  <c r="B92" i="9"/>
  <c r="C91" i="9"/>
  <c r="B91" i="9"/>
  <c r="C90" i="9"/>
  <c r="B90" i="9"/>
  <c r="C89" i="9"/>
  <c r="B89" i="9"/>
  <c r="C88" i="9"/>
  <c r="B88" i="9"/>
  <c r="C87" i="9"/>
  <c r="B87" i="9"/>
  <c r="C86" i="9"/>
  <c r="B86" i="9"/>
  <c r="C85" i="9"/>
  <c r="B85" i="9"/>
  <c r="C84" i="9"/>
  <c r="B84" i="9"/>
  <c r="C83" i="9"/>
  <c r="B83" i="9"/>
  <c r="C82" i="9"/>
  <c r="B82" i="9"/>
  <c r="C81" i="9"/>
  <c r="B81" i="9"/>
  <c r="C80" i="9"/>
  <c r="B80" i="9"/>
  <c r="C79" i="9"/>
  <c r="B79" i="9"/>
  <c r="C78" i="9"/>
  <c r="B78" i="9"/>
  <c r="C77" i="9"/>
  <c r="B77" i="9"/>
  <c r="C76" i="9"/>
  <c r="B76" i="9"/>
  <c r="C75" i="9"/>
  <c r="B75" i="9"/>
  <c r="C74" i="9"/>
  <c r="B74" i="9"/>
  <c r="C73" i="9"/>
  <c r="B73" i="9"/>
  <c r="C72" i="9"/>
  <c r="B72" i="9"/>
  <c r="C71" i="9"/>
  <c r="B71" i="9"/>
  <c r="C70" i="9"/>
  <c r="B70" i="9"/>
  <c r="C69" i="9"/>
  <c r="B69" i="9"/>
  <c r="C68" i="9"/>
  <c r="B68" i="9"/>
  <c r="C67" i="9"/>
  <c r="B67" i="9"/>
  <c r="C66" i="9"/>
  <c r="B66" i="9"/>
  <c r="C65" i="9"/>
  <c r="B65" i="9"/>
  <c r="C64" i="9"/>
  <c r="B64" i="9"/>
  <c r="C63" i="9"/>
  <c r="B63" i="9"/>
  <c r="C62" i="9"/>
  <c r="B62" i="9"/>
  <c r="C61" i="9"/>
  <c r="B61" i="9"/>
  <c r="C60" i="9"/>
  <c r="B60" i="9"/>
  <c r="C59" i="9"/>
  <c r="B59" i="9"/>
  <c r="C58" i="9"/>
  <c r="B58" i="9"/>
  <c r="C57" i="9"/>
  <c r="B57" i="9"/>
  <c r="C56" i="9"/>
  <c r="B56" i="9"/>
  <c r="C55" i="9"/>
  <c r="B55" i="9"/>
  <c r="C54" i="9"/>
  <c r="B54" i="9"/>
  <c r="C53" i="9"/>
  <c r="B53" i="9"/>
  <c r="C52" i="9"/>
  <c r="B52" i="9"/>
  <c r="C51" i="9"/>
  <c r="B51" i="9"/>
  <c r="C50" i="9"/>
  <c r="B50" i="9"/>
  <c r="C49" i="9"/>
  <c r="B49" i="9"/>
  <c r="C48" i="9"/>
  <c r="B48" i="9"/>
  <c r="C47" i="9"/>
  <c r="B47" i="9"/>
  <c r="C46" i="9"/>
  <c r="B46" i="9"/>
  <c r="C45" i="9"/>
  <c r="B45" i="9"/>
  <c r="C44" i="9"/>
  <c r="B44" i="9"/>
  <c r="C43" i="9"/>
  <c r="B43" i="9"/>
  <c r="C42" i="9"/>
  <c r="B42" i="9"/>
  <c r="C41" i="9"/>
  <c r="B41" i="9"/>
  <c r="C40" i="9"/>
  <c r="B40" i="9"/>
  <c r="C39" i="9"/>
  <c r="B39" i="9"/>
  <c r="C38" i="9"/>
  <c r="B38" i="9"/>
  <c r="C37" i="9"/>
  <c r="B37" i="9"/>
  <c r="C36" i="9"/>
  <c r="B36" i="9"/>
  <c r="C35" i="9"/>
  <c r="B35" i="9"/>
  <c r="C34" i="9"/>
  <c r="B34" i="9"/>
  <c r="C33" i="9"/>
  <c r="B33" i="9"/>
  <c r="C32" i="9"/>
  <c r="B32" i="9"/>
  <c r="C31" i="9"/>
  <c r="B31" i="9"/>
  <c r="C30" i="9"/>
  <c r="B30" i="9"/>
  <c r="C29" i="9"/>
  <c r="B29" i="9"/>
  <c r="C28" i="9"/>
  <c r="B28" i="9"/>
  <c r="C27" i="9"/>
  <c r="B27" i="9"/>
  <c r="C26" i="9"/>
  <c r="B26" i="9"/>
  <c r="C25" i="9"/>
  <c r="B25" i="9"/>
  <c r="C24" i="9"/>
  <c r="B24" i="9"/>
  <c r="C23" i="9"/>
  <c r="B23" i="9"/>
  <c r="C22" i="9"/>
  <c r="B22" i="9"/>
  <c r="C21" i="9"/>
  <c r="B21" i="9"/>
  <c r="C20" i="9"/>
  <c r="B20" i="9"/>
  <c r="C19" i="9"/>
  <c r="B19" i="9"/>
  <c r="C18" i="9"/>
  <c r="B18" i="9"/>
  <c r="C17" i="9"/>
  <c r="B17" i="9"/>
  <c r="C16" i="9"/>
  <c r="B16" i="9"/>
  <c r="C15" i="9"/>
  <c r="B15" i="9"/>
  <c r="C14" i="9"/>
  <c r="B14" i="9"/>
  <c r="C13" i="9"/>
  <c r="B13" i="9"/>
  <c r="C12" i="9"/>
  <c r="B12" i="9"/>
  <c r="C11" i="9"/>
  <c r="B11" i="9"/>
  <c r="C10" i="9"/>
  <c r="B10" i="9"/>
  <c r="C9" i="9"/>
  <c r="B9" i="9"/>
  <c r="C8" i="9"/>
  <c r="B8" i="9"/>
  <c r="C7" i="9"/>
  <c r="C6" i="9"/>
  <c r="B6" i="9"/>
  <c r="C5" i="9"/>
  <c r="B5" i="9"/>
  <c r="C4" i="9"/>
  <c r="B4" i="9"/>
  <c r="C3" i="9"/>
  <c r="B3" i="9"/>
  <c r="C2" i="9"/>
  <c r="B2" i="9"/>
  <c r="C1" i="9"/>
  <c r="B1" i="9"/>
  <c r="A1" i="9"/>
  <c r="AA1" i="15"/>
  <c r="Z1" i="15"/>
  <c r="Y1" i="15"/>
  <c r="X1" i="15"/>
  <c r="W1" i="15"/>
  <c r="V1" i="15"/>
  <c r="U1" i="15"/>
  <c r="T1" i="15"/>
  <c r="S1" i="15"/>
  <c r="R1" i="15"/>
  <c r="Q1" i="15"/>
  <c r="P1" i="15"/>
  <c r="O1" i="15"/>
  <c r="N1" i="15"/>
  <c r="M1" i="15"/>
  <c r="L1" i="15"/>
  <c r="K1" i="15"/>
  <c r="J1" i="15"/>
  <c r="I1" i="15"/>
  <c r="H1" i="15"/>
  <c r="H99" i="15"/>
  <c r="H4" i="15"/>
  <c r="H3" i="15"/>
  <c r="G99" i="15"/>
  <c r="F99" i="15"/>
  <c r="E99" i="15"/>
  <c r="C99" i="15"/>
  <c r="B99" i="15"/>
  <c r="C98" i="15"/>
  <c r="B98" i="15"/>
  <c r="C97" i="15"/>
  <c r="B97" i="15"/>
  <c r="C96" i="15"/>
  <c r="B96" i="15"/>
  <c r="C95" i="15"/>
  <c r="B95" i="15"/>
  <c r="C94" i="15"/>
  <c r="B94" i="15"/>
  <c r="C93" i="15"/>
  <c r="B93" i="15"/>
  <c r="C92" i="15"/>
  <c r="B92" i="15"/>
  <c r="C91" i="15"/>
  <c r="B91" i="15"/>
  <c r="C90" i="15"/>
  <c r="B90" i="15"/>
  <c r="C89" i="15"/>
  <c r="B89" i="15"/>
  <c r="C88" i="15"/>
  <c r="B88" i="15"/>
  <c r="C87" i="15"/>
  <c r="B87" i="15"/>
  <c r="C86" i="15"/>
  <c r="B86" i="15"/>
  <c r="C85" i="15"/>
  <c r="B85" i="15"/>
  <c r="C84" i="15"/>
  <c r="B84" i="15"/>
  <c r="C83" i="15"/>
  <c r="B83" i="15"/>
  <c r="C82" i="15"/>
  <c r="B82" i="15"/>
  <c r="C81" i="15"/>
  <c r="B81" i="15"/>
  <c r="C80" i="15"/>
  <c r="B80" i="15"/>
  <c r="C79" i="15"/>
  <c r="B79" i="15"/>
  <c r="C78" i="15"/>
  <c r="B78" i="15"/>
  <c r="C77" i="15"/>
  <c r="B77" i="15"/>
  <c r="C76" i="15"/>
  <c r="B76" i="15"/>
  <c r="C75" i="15"/>
  <c r="B75" i="15"/>
  <c r="C74" i="15"/>
  <c r="B74" i="15"/>
  <c r="C73" i="15"/>
  <c r="B73" i="15"/>
  <c r="C72" i="15"/>
  <c r="B72" i="15"/>
  <c r="C71" i="15"/>
  <c r="B71" i="15"/>
  <c r="C70" i="15"/>
  <c r="B70" i="15"/>
  <c r="C69" i="15"/>
  <c r="B69" i="15"/>
  <c r="C68" i="15"/>
  <c r="B68" i="15"/>
  <c r="C67" i="15"/>
  <c r="B67" i="15"/>
  <c r="C66" i="15"/>
  <c r="B66" i="15"/>
  <c r="C65" i="15"/>
  <c r="B65" i="15"/>
  <c r="C64" i="15"/>
  <c r="B64" i="15"/>
  <c r="C63" i="15"/>
  <c r="B63" i="15"/>
  <c r="C62" i="15"/>
  <c r="B62" i="15"/>
  <c r="C61" i="15"/>
  <c r="B61" i="15"/>
  <c r="C60" i="15"/>
  <c r="B60" i="15"/>
  <c r="C59" i="15"/>
  <c r="B59" i="15"/>
  <c r="C58" i="15"/>
  <c r="B58" i="15"/>
  <c r="C57" i="15"/>
  <c r="B57" i="15"/>
  <c r="C56" i="15"/>
  <c r="B56" i="15"/>
  <c r="C55" i="15"/>
  <c r="B55" i="15"/>
  <c r="C54" i="15"/>
  <c r="B54" i="15"/>
  <c r="C53" i="15"/>
  <c r="B53" i="15"/>
  <c r="C52" i="15"/>
  <c r="B52" i="15"/>
  <c r="C51" i="15"/>
  <c r="B51" i="15"/>
  <c r="C50" i="15"/>
  <c r="B50" i="15"/>
  <c r="C49" i="15"/>
  <c r="B49" i="15"/>
  <c r="C48" i="15"/>
  <c r="B48" i="15"/>
  <c r="C47" i="15"/>
  <c r="B47" i="15"/>
  <c r="C46" i="15"/>
  <c r="B46" i="15"/>
  <c r="C45" i="15"/>
  <c r="B45" i="15"/>
  <c r="C44" i="15"/>
  <c r="B44" i="15"/>
  <c r="C43" i="15"/>
  <c r="B43" i="15"/>
  <c r="C42" i="15"/>
  <c r="B42" i="15"/>
  <c r="C41" i="15"/>
  <c r="B41" i="15"/>
  <c r="C40" i="15"/>
  <c r="B40" i="15"/>
  <c r="C39" i="15"/>
  <c r="B39" i="15"/>
  <c r="C38" i="15"/>
  <c r="B38" i="15"/>
  <c r="C37" i="15"/>
  <c r="B37" i="15"/>
  <c r="C36" i="15"/>
  <c r="B36" i="15"/>
  <c r="C35" i="15"/>
  <c r="B35" i="15"/>
  <c r="C34" i="15"/>
  <c r="B34" i="15"/>
  <c r="C33" i="15"/>
  <c r="B33" i="15"/>
  <c r="C32" i="15"/>
  <c r="B32" i="15"/>
  <c r="C31" i="15"/>
  <c r="B31" i="15"/>
  <c r="C30" i="15"/>
  <c r="B30" i="15"/>
  <c r="C29" i="15"/>
  <c r="B29" i="15"/>
  <c r="C28" i="15"/>
  <c r="B28" i="15"/>
  <c r="C27" i="15"/>
  <c r="B27" i="15"/>
  <c r="C26" i="15"/>
  <c r="B26" i="15"/>
  <c r="C25" i="15"/>
  <c r="B25" i="15"/>
  <c r="C24" i="15"/>
  <c r="B24" i="15"/>
  <c r="C23" i="15"/>
  <c r="B23" i="15"/>
  <c r="C22" i="15"/>
  <c r="B22" i="15"/>
  <c r="C21" i="15"/>
  <c r="B21" i="15"/>
  <c r="C20" i="15"/>
  <c r="B20" i="15"/>
  <c r="C19" i="15"/>
  <c r="B19" i="15"/>
  <c r="C18" i="15"/>
  <c r="B18" i="15"/>
  <c r="C17" i="15"/>
  <c r="B17" i="15"/>
  <c r="C16" i="15"/>
  <c r="B16" i="15"/>
  <c r="C15" i="15"/>
  <c r="B15" i="15"/>
  <c r="A15" i="15"/>
  <c r="C14" i="15"/>
  <c r="B14" i="15"/>
  <c r="C13" i="15"/>
  <c r="B13" i="15"/>
  <c r="A13" i="15"/>
  <c r="C12" i="15"/>
  <c r="B12" i="15"/>
  <c r="C11" i="15"/>
  <c r="B11" i="15"/>
  <c r="C10" i="15"/>
  <c r="B10" i="15"/>
  <c r="C9" i="15"/>
  <c r="B9" i="15"/>
  <c r="C8" i="15"/>
  <c r="B8" i="15"/>
  <c r="C7" i="15"/>
  <c r="C5" i="15"/>
  <c r="G4" i="15"/>
  <c r="F4" i="15"/>
  <c r="E4" i="15"/>
  <c r="C4" i="15"/>
  <c r="G3" i="15"/>
  <c r="F3" i="15"/>
  <c r="E3" i="15"/>
  <c r="C3" i="15"/>
  <c r="B3" i="15"/>
  <c r="G1" i="15"/>
  <c r="F1" i="15"/>
  <c r="E1" i="15"/>
  <c r="C1" i="15"/>
  <c r="B1" i="15"/>
  <c r="H98" i="15"/>
  <c r="G98" i="15"/>
  <c r="F98" i="15"/>
  <c r="E98" i="15"/>
  <c r="H97" i="15"/>
  <c r="G97" i="15"/>
  <c r="F97" i="15"/>
  <c r="E97" i="15"/>
  <c r="H96" i="15"/>
  <c r="G96" i="15"/>
  <c r="F96" i="15"/>
  <c r="E96" i="15"/>
  <c r="H95" i="15"/>
  <c r="G95" i="15"/>
  <c r="F95" i="15"/>
  <c r="E95" i="15"/>
  <c r="H94" i="15"/>
  <c r="G94" i="15"/>
  <c r="F94" i="15"/>
  <c r="E94" i="15"/>
  <c r="H93" i="15"/>
  <c r="G93" i="15"/>
  <c r="F93" i="15"/>
  <c r="E93" i="15"/>
  <c r="H92" i="15"/>
  <c r="G92" i="15"/>
  <c r="F92" i="15"/>
  <c r="E92" i="15"/>
  <c r="H91" i="15"/>
  <c r="G91" i="15"/>
  <c r="F91" i="15"/>
  <c r="E91" i="15"/>
  <c r="H90" i="15"/>
  <c r="G90" i="15"/>
  <c r="F90" i="15"/>
  <c r="E90" i="15"/>
  <c r="H89" i="15"/>
  <c r="G89" i="15"/>
  <c r="F89" i="15"/>
  <c r="E89" i="15"/>
  <c r="H88" i="15"/>
  <c r="G88" i="15"/>
  <c r="F88" i="15"/>
  <c r="E88" i="15"/>
  <c r="H87" i="15"/>
  <c r="G87" i="15"/>
  <c r="F87" i="15"/>
  <c r="E87" i="15"/>
  <c r="H86" i="15"/>
  <c r="G86" i="15"/>
  <c r="F86" i="15"/>
  <c r="E86" i="15"/>
  <c r="H85" i="15"/>
  <c r="G85" i="15"/>
  <c r="F85" i="15"/>
  <c r="E85" i="15"/>
  <c r="H84" i="15"/>
  <c r="G84" i="15"/>
  <c r="F84" i="15"/>
  <c r="E84" i="15"/>
  <c r="H83" i="15"/>
  <c r="G83" i="15"/>
  <c r="F83" i="15"/>
  <c r="E83" i="15"/>
  <c r="H82" i="15"/>
  <c r="G82" i="15"/>
  <c r="F82" i="15"/>
  <c r="E82" i="15"/>
  <c r="H81" i="15"/>
  <c r="G81" i="15"/>
  <c r="F81" i="15"/>
  <c r="E81" i="15"/>
  <c r="H80" i="15"/>
  <c r="G80" i="15"/>
  <c r="F80" i="15"/>
  <c r="E80" i="15"/>
  <c r="H79" i="15"/>
  <c r="G79" i="15"/>
  <c r="F79" i="15"/>
  <c r="E79" i="15"/>
  <c r="H78" i="15"/>
  <c r="G78" i="15"/>
  <c r="F78" i="15"/>
  <c r="E78" i="15"/>
  <c r="H77" i="15"/>
  <c r="G77" i="15"/>
  <c r="F77" i="15"/>
  <c r="E77" i="15"/>
  <c r="H76" i="15"/>
  <c r="G76" i="15"/>
  <c r="F76" i="15"/>
  <c r="E76" i="15"/>
  <c r="H75" i="15"/>
  <c r="G75" i="15"/>
  <c r="F75" i="15"/>
  <c r="E75" i="15"/>
  <c r="H74" i="15"/>
  <c r="G74" i="15"/>
  <c r="F74" i="15"/>
  <c r="E74" i="15"/>
  <c r="H73" i="15"/>
  <c r="G73" i="15"/>
  <c r="F73" i="15"/>
  <c r="E73" i="15"/>
  <c r="H72" i="15"/>
  <c r="G72" i="15"/>
  <c r="F72" i="15"/>
  <c r="E72" i="15"/>
  <c r="H71" i="15"/>
  <c r="G71" i="15"/>
  <c r="F71" i="15"/>
  <c r="E71" i="15"/>
  <c r="H70" i="15"/>
  <c r="G70" i="15"/>
  <c r="F70" i="15"/>
  <c r="E70" i="15"/>
  <c r="H69" i="15"/>
  <c r="G69" i="15"/>
  <c r="F69" i="15"/>
  <c r="E69" i="15"/>
  <c r="H68" i="15"/>
  <c r="G68" i="15"/>
  <c r="F68" i="15"/>
  <c r="E68" i="15"/>
  <c r="H67" i="15"/>
  <c r="G67" i="15"/>
  <c r="F67" i="15"/>
  <c r="E67" i="15"/>
  <c r="H66" i="15"/>
  <c r="G66" i="15"/>
  <c r="F66" i="15"/>
  <c r="E66" i="15"/>
  <c r="H65" i="15"/>
  <c r="G65" i="15"/>
  <c r="F65" i="15"/>
  <c r="E65" i="15"/>
  <c r="H64" i="15"/>
  <c r="G64" i="15"/>
  <c r="F64" i="15"/>
  <c r="E64" i="15"/>
  <c r="H63" i="15"/>
  <c r="G63" i="15"/>
  <c r="F63" i="15"/>
  <c r="E63" i="15"/>
  <c r="H62" i="15"/>
  <c r="G62" i="15"/>
  <c r="F62" i="15"/>
  <c r="E62" i="15"/>
  <c r="H61" i="15"/>
  <c r="G61" i="15"/>
  <c r="F61" i="15"/>
  <c r="E61" i="15"/>
  <c r="H60" i="15"/>
  <c r="G60" i="15"/>
  <c r="F60" i="15"/>
  <c r="E60" i="15"/>
  <c r="H59" i="15"/>
  <c r="G59" i="15"/>
  <c r="F59" i="15"/>
  <c r="E59" i="15"/>
  <c r="H58" i="15"/>
  <c r="G58" i="15"/>
  <c r="F58" i="15"/>
  <c r="E58" i="15"/>
  <c r="H57" i="15"/>
  <c r="G57" i="15"/>
  <c r="F57" i="15"/>
  <c r="E57" i="15"/>
  <c r="H56" i="15"/>
  <c r="G56" i="15"/>
  <c r="F56" i="15"/>
  <c r="E56" i="15"/>
  <c r="H55" i="15"/>
  <c r="G55" i="15"/>
  <c r="F55" i="15"/>
  <c r="E55" i="15"/>
  <c r="H54" i="15"/>
  <c r="G54" i="15"/>
  <c r="F54" i="15"/>
  <c r="E54" i="15"/>
  <c r="H53" i="15"/>
  <c r="G53" i="15"/>
  <c r="F53" i="15"/>
  <c r="E53" i="15"/>
  <c r="H52" i="15"/>
  <c r="G52" i="15"/>
  <c r="F52" i="15"/>
  <c r="E52" i="15"/>
  <c r="H51" i="15"/>
  <c r="G51" i="15"/>
  <c r="F51" i="15"/>
  <c r="E51" i="15"/>
  <c r="H50" i="15"/>
  <c r="G50" i="15"/>
  <c r="F50" i="15"/>
  <c r="E50" i="15"/>
  <c r="H49" i="15"/>
  <c r="G49" i="15"/>
  <c r="F49" i="15"/>
  <c r="E49" i="15"/>
  <c r="H48" i="15"/>
  <c r="G48" i="15"/>
  <c r="F48" i="15"/>
  <c r="E48" i="15"/>
  <c r="H47" i="15"/>
  <c r="G47" i="15"/>
  <c r="F47" i="15"/>
  <c r="E47" i="15"/>
  <c r="H46" i="15"/>
  <c r="G46" i="15"/>
  <c r="F46" i="15"/>
  <c r="E46" i="15"/>
  <c r="H45" i="15"/>
  <c r="G45" i="15"/>
  <c r="F45" i="15"/>
  <c r="E45" i="15"/>
  <c r="H44" i="15"/>
  <c r="G44" i="15"/>
  <c r="F44" i="15"/>
  <c r="E44" i="15"/>
  <c r="H43" i="15"/>
  <c r="G43" i="15"/>
  <c r="F43" i="15"/>
  <c r="E43" i="15"/>
  <c r="H42" i="15"/>
  <c r="G42" i="15"/>
  <c r="F42" i="15"/>
  <c r="E42" i="15"/>
  <c r="H41" i="15"/>
  <c r="G41" i="15"/>
  <c r="F41" i="15"/>
  <c r="E41" i="15"/>
  <c r="H40" i="15"/>
  <c r="G40" i="15"/>
  <c r="F40" i="15"/>
  <c r="E40" i="15"/>
  <c r="H39" i="15"/>
  <c r="G39" i="15"/>
  <c r="F39" i="15"/>
  <c r="E39" i="15"/>
  <c r="H38" i="15"/>
  <c r="G38" i="15"/>
  <c r="F38" i="15"/>
  <c r="E38" i="15"/>
  <c r="H37" i="15"/>
  <c r="G37" i="15"/>
  <c r="F37" i="15"/>
  <c r="E37" i="15"/>
  <c r="H36" i="15"/>
  <c r="G36" i="15"/>
  <c r="F36" i="15"/>
  <c r="E36" i="15"/>
  <c r="H35" i="15"/>
  <c r="G35" i="15"/>
  <c r="F35" i="15"/>
  <c r="E35" i="15"/>
  <c r="H34" i="15"/>
  <c r="G34" i="15"/>
  <c r="F34" i="15"/>
  <c r="E34" i="15"/>
  <c r="H33" i="15"/>
  <c r="G33" i="15"/>
  <c r="F33" i="15"/>
  <c r="E33" i="15"/>
  <c r="H32" i="15"/>
  <c r="G32" i="15"/>
  <c r="F32" i="15"/>
  <c r="E32" i="15"/>
  <c r="H31" i="15"/>
  <c r="G31" i="15"/>
  <c r="F31" i="15"/>
  <c r="E31" i="15"/>
  <c r="H30" i="15"/>
  <c r="G30" i="15"/>
  <c r="F30" i="15"/>
  <c r="E30" i="15"/>
  <c r="H29" i="15"/>
  <c r="G29" i="15"/>
  <c r="F29" i="15"/>
  <c r="E29" i="15"/>
  <c r="H28" i="15"/>
  <c r="G28" i="15"/>
  <c r="F28" i="15"/>
  <c r="E28" i="15"/>
  <c r="H27" i="15"/>
  <c r="G27" i="15"/>
  <c r="F27" i="15"/>
  <c r="E27" i="15"/>
  <c r="H26" i="15"/>
  <c r="G26" i="15"/>
  <c r="F26" i="15"/>
  <c r="E26" i="15"/>
  <c r="H25" i="15"/>
  <c r="G25" i="15"/>
  <c r="F25" i="15"/>
  <c r="E25" i="15"/>
  <c r="H24" i="15"/>
  <c r="G24" i="15"/>
  <c r="F24" i="15"/>
  <c r="E24" i="15"/>
  <c r="H23" i="15"/>
  <c r="G23" i="15"/>
  <c r="F23" i="15"/>
  <c r="E23" i="15"/>
  <c r="H22" i="15"/>
  <c r="G22" i="15"/>
  <c r="F22" i="15"/>
  <c r="E22" i="15"/>
  <c r="H21" i="15"/>
  <c r="G21" i="15"/>
  <c r="F21" i="15"/>
  <c r="E21" i="15"/>
  <c r="H20" i="15"/>
  <c r="G20" i="15"/>
  <c r="F20" i="15"/>
  <c r="E20" i="15"/>
  <c r="H19" i="15"/>
  <c r="G19" i="15"/>
  <c r="F19" i="15"/>
  <c r="E19" i="15"/>
  <c r="H18" i="15"/>
  <c r="G18" i="15"/>
  <c r="F18" i="15"/>
  <c r="E18" i="15"/>
  <c r="H17" i="15"/>
  <c r="G17" i="15"/>
  <c r="F17" i="15"/>
  <c r="E17" i="15"/>
  <c r="H16" i="15"/>
  <c r="G16" i="15"/>
  <c r="F16" i="15"/>
  <c r="E16" i="15"/>
  <c r="H15" i="15"/>
  <c r="G15" i="15"/>
  <c r="F15" i="15"/>
  <c r="E15" i="15"/>
  <c r="H14" i="15"/>
  <c r="G14" i="15"/>
  <c r="F14" i="15"/>
  <c r="E14" i="15"/>
  <c r="H13" i="15"/>
  <c r="G13" i="15"/>
  <c r="F13" i="15"/>
  <c r="E13" i="15"/>
  <c r="H12" i="15"/>
  <c r="G12" i="15"/>
  <c r="F12" i="15"/>
  <c r="E12" i="15"/>
  <c r="H11" i="15"/>
  <c r="G11" i="15"/>
  <c r="F11" i="15"/>
  <c r="E11" i="15"/>
  <c r="H10" i="15"/>
  <c r="G10" i="15"/>
  <c r="F10" i="15"/>
  <c r="E10" i="15"/>
  <c r="H9" i="15"/>
  <c r="G9" i="15"/>
  <c r="F9" i="15"/>
  <c r="E9" i="15"/>
  <c r="H8" i="15"/>
  <c r="G8" i="15"/>
  <c r="F8" i="15"/>
  <c r="E8" i="15"/>
  <c r="H7" i="15"/>
  <c r="G7" i="15"/>
  <c r="F7" i="15"/>
  <c r="E7" i="15"/>
  <c r="H5" i="15"/>
  <c r="G5" i="15"/>
  <c r="F5" i="15"/>
  <c r="E5" i="15"/>
  <c r="H99" i="14"/>
  <c r="G99" i="14"/>
  <c r="F99" i="14"/>
  <c r="E99" i="14"/>
  <c r="D99" i="14"/>
  <c r="C99" i="14"/>
  <c r="B99" i="14"/>
  <c r="H98" i="14"/>
  <c r="G98" i="14"/>
  <c r="F98" i="14"/>
  <c r="E98" i="14"/>
  <c r="D98" i="14"/>
  <c r="C98" i="14"/>
  <c r="B98" i="14"/>
  <c r="H97" i="14"/>
  <c r="G97" i="14"/>
  <c r="F97" i="14"/>
  <c r="E97" i="14"/>
  <c r="D97" i="14"/>
  <c r="C97" i="14"/>
  <c r="B97" i="14"/>
  <c r="H96" i="14"/>
  <c r="G96" i="14"/>
  <c r="F96" i="14"/>
  <c r="E96" i="14"/>
  <c r="D96" i="14"/>
  <c r="C96" i="14"/>
  <c r="B96" i="14"/>
  <c r="H95" i="14"/>
  <c r="G95" i="14"/>
  <c r="F95" i="14"/>
  <c r="E95" i="14"/>
  <c r="D95" i="14"/>
  <c r="C95" i="14"/>
  <c r="B95" i="14"/>
  <c r="H94" i="14"/>
  <c r="G94" i="14"/>
  <c r="F94" i="14"/>
  <c r="E94" i="14"/>
  <c r="D94" i="14"/>
  <c r="C94" i="14"/>
  <c r="B94" i="14"/>
  <c r="H93" i="14"/>
  <c r="G93" i="14"/>
  <c r="F93" i="14"/>
  <c r="E93" i="14"/>
  <c r="D93" i="14"/>
  <c r="C93" i="14"/>
  <c r="B93" i="14"/>
  <c r="H92" i="14"/>
  <c r="G92" i="14"/>
  <c r="F92" i="14"/>
  <c r="E92" i="14"/>
  <c r="D92" i="14"/>
  <c r="C92" i="14"/>
  <c r="B92" i="14"/>
  <c r="H91" i="14"/>
  <c r="G91" i="14"/>
  <c r="F91" i="14"/>
  <c r="E91" i="14"/>
  <c r="D91" i="14"/>
  <c r="C91" i="14"/>
  <c r="B91" i="14"/>
  <c r="H90" i="14"/>
  <c r="G90" i="14"/>
  <c r="F90" i="14"/>
  <c r="E90" i="14"/>
  <c r="D90" i="14"/>
  <c r="C90" i="14"/>
  <c r="B90" i="14"/>
  <c r="H89" i="14"/>
  <c r="G89" i="14"/>
  <c r="F89" i="14"/>
  <c r="E89" i="14"/>
  <c r="D89" i="14"/>
  <c r="C89" i="14"/>
  <c r="B89" i="14"/>
  <c r="H88" i="14"/>
  <c r="G88" i="14"/>
  <c r="F88" i="14"/>
  <c r="E88" i="14"/>
  <c r="D88" i="14"/>
  <c r="C88" i="14"/>
  <c r="B88" i="14"/>
  <c r="H87" i="14"/>
  <c r="G87" i="14"/>
  <c r="F87" i="14"/>
  <c r="E87" i="14"/>
  <c r="D87" i="14"/>
  <c r="C87" i="14"/>
  <c r="B87" i="14"/>
  <c r="H86" i="14"/>
  <c r="G86" i="14"/>
  <c r="F86" i="14"/>
  <c r="E86" i="14"/>
  <c r="D86" i="14"/>
  <c r="C86" i="14"/>
  <c r="B86" i="14"/>
  <c r="H85" i="14"/>
  <c r="G85" i="14"/>
  <c r="F85" i="14"/>
  <c r="E85" i="14"/>
  <c r="D85" i="14"/>
  <c r="C85" i="14"/>
  <c r="B85" i="14"/>
  <c r="H84" i="14"/>
  <c r="G84" i="14"/>
  <c r="F84" i="14"/>
  <c r="E84" i="14"/>
  <c r="D84" i="14"/>
  <c r="C84" i="14"/>
  <c r="B84" i="14"/>
  <c r="H83" i="14"/>
  <c r="G83" i="14"/>
  <c r="F83" i="14"/>
  <c r="E83" i="14"/>
  <c r="D83" i="14"/>
  <c r="C83" i="14"/>
  <c r="B83" i="14"/>
  <c r="H82" i="14"/>
  <c r="G82" i="14"/>
  <c r="F82" i="14"/>
  <c r="E82" i="14"/>
  <c r="D82" i="14"/>
  <c r="C82" i="14"/>
  <c r="B82" i="14"/>
  <c r="H81" i="14"/>
  <c r="G81" i="14"/>
  <c r="F81" i="14"/>
  <c r="E81" i="14"/>
  <c r="D81" i="14"/>
  <c r="C81" i="14"/>
  <c r="B81" i="14"/>
  <c r="H80" i="14"/>
  <c r="G80" i="14"/>
  <c r="F80" i="14"/>
  <c r="E80" i="14"/>
  <c r="D80" i="14"/>
  <c r="C80" i="14"/>
  <c r="B80" i="14"/>
  <c r="H79" i="14"/>
  <c r="G79" i="14"/>
  <c r="F79" i="14"/>
  <c r="E79" i="14"/>
  <c r="D79" i="14"/>
  <c r="C79" i="14"/>
  <c r="B79" i="14"/>
  <c r="H78" i="14"/>
  <c r="G78" i="14"/>
  <c r="F78" i="14"/>
  <c r="E78" i="14"/>
  <c r="D78" i="14"/>
  <c r="C78" i="14"/>
  <c r="B78" i="14"/>
  <c r="H77" i="14"/>
  <c r="G77" i="14"/>
  <c r="F77" i="14"/>
  <c r="E77" i="14"/>
  <c r="D77" i="14"/>
  <c r="C77" i="14"/>
  <c r="B77" i="14"/>
  <c r="H76" i="14"/>
  <c r="G76" i="14"/>
  <c r="F76" i="14"/>
  <c r="E76" i="14"/>
  <c r="D76" i="14"/>
  <c r="C76" i="14"/>
  <c r="B76" i="14"/>
  <c r="H75" i="14"/>
  <c r="G75" i="14"/>
  <c r="F75" i="14"/>
  <c r="E75" i="14"/>
  <c r="D75" i="14"/>
  <c r="C75" i="14"/>
  <c r="B75" i="14"/>
  <c r="H74" i="14"/>
  <c r="G74" i="14"/>
  <c r="F74" i="14"/>
  <c r="E74" i="14"/>
  <c r="D74" i="14"/>
  <c r="C74" i="14"/>
  <c r="B74" i="14"/>
  <c r="H73" i="14"/>
  <c r="G73" i="14"/>
  <c r="F73" i="14"/>
  <c r="E73" i="14"/>
  <c r="D73" i="14"/>
  <c r="C73" i="14"/>
  <c r="B73" i="14"/>
  <c r="H72" i="14"/>
  <c r="G72" i="14"/>
  <c r="F72" i="14"/>
  <c r="E72" i="14"/>
  <c r="D72" i="14"/>
  <c r="C72" i="14"/>
  <c r="B72" i="14"/>
  <c r="H71" i="14"/>
  <c r="G71" i="14"/>
  <c r="F71" i="14"/>
  <c r="E71" i="14"/>
  <c r="D71" i="14"/>
  <c r="C71" i="14"/>
  <c r="B71" i="14"/>
  <c r="H70" i="14"/>
  <c r="G70" i="14"/>
  <c r="F70" i="14"/>
  <c r="E70" i="14"/>
  <c r="D70" i="14"/>
  <c r="C70" i="14"/>
  <c r="B70" i="14"/>
  <c r="H69" i="14"/>
  <c r="G69" i="14"/>
  <c r="F69" i="14"/>
  <c r="E69" i="14"/>
  <c r="D69" i="14"/>
  <c r="C69" i="14"/>
  <c r="B69" i="14"/>
  <c r="H68" i="14"/>
  <c r="G68" i="14"/>
  <c r="F68" i="14"/>
  <c r="E68" i="14"/>
  <c r="D68" i="14"/>
  <c r="C68" i="14"/>
  <c r="B68" i="14"/>
  <c r="H67" i="14"/>
  <c r="G67" i="14"/>
  <c r="F67" i="14"/>
  <c r="E67" i="14"/>
  <c r="D67" i="14"/>
  <c r="C67" i="14"/>
  <c r="B67" i="14"/>
  <c r="H66" i="14"/>
  <c r="G66" i="14"/>
  <c r="F66" i="14"/>
  <c r="E66" i="14"/>
  <c r="D66" i="14"/>
  <c r="C66" i="14"/>
  <c r="B66" i="14"/>
  <c r="H65" i="14"/>
  <c r="G65" i="14"/>
  <c r="F65" i="14"/>
  <c r="E65" i="14"/>
  <c r="D65" i="14"/>
  <c r="C65" i="14"/>
  <c r="B65" i="14"/>
  <c r="H64" i="14"/>
  <c r="G64" i="14"/>
  <c r="F64" i="14"/>
  <c r="E64" i="14"/>
  <c r="D64" i="14"/>
  <c r="C64" i="14"/>
  <c r="B64" i="14"/>
  <c r="H63" i="14"/>
  <c r="G63" i="14"/>
  <c r="F63" i="14"/>
  <c r="E63" i="14"/>
  <c r="D63" i="14"/>
  <c r="C63" i="14"/>
  <c r="B63" i="14"/>
  <c r="H62" i="14"/>
  <c r="G62" i="14"/>
  <c r="F62" i="14"/>
  <c r="E62" i="14"/>
  <c r="D62" i="14"/>
  <c r="C62" i="14"/>
  <c r="B62" i="14"/>
  <c r="H61" i="14"/>
  <c r="G61" i="14"/>
  <c r="F61" i="14"/>
  <c r="E61" i="14"/>
  <c r="D61" i="14"/>
  <c r="C61" i="14"/>
  <c r="B61" i="14"/>
  <c r="H60" i="14"/>
  <c r="G60" i="14"/>
  <c r="F60" i="14"/>
  <c r="E60" i="14"/>
  <c r="D60" i="14"/>
  <c r="C60" i="14"/>
  <c r="B60" i="14"/>
  <c r="H59" i="14"/>
  <c r="G59" i="14"/>
  <c r="F59" i="14"/>
  <c r="E59" i="14"/>
  <c r="D59" i="14"/>
  <c r="C59" i="14"/>
  <c r="B59" i="14"/>
  <c r="H58" i="14"/>
  <c r="G58" i="14"/>
  <c r="F58" i="14"/>
  <c r="E58" i="14"/>
  <c r="D58" i="14"/>
  <c r="C58" i="14"/>
  <c r="B58" i="14"/>
  <c r="H57" i="14"/>
  <c r="G57" i="14"/>
  <c r="F57" i="14"/>
  <c r="E57" i="14"/>
  <c r="D57" i="14"/>
  <c r="C57" i="14"/>
  <c r="B57" i="14"/>
  <c r="H56" i="14"/>
  <c r="G56" i="14"/>
  <c r="F56" i="14"/>
  <c r="E56" i="14"/>
  <c r="D56" i="14"/>
  <c r="C56" i="14"/>
  <c r="B56" i="14"/>
  <c r="H55" i="14"/>
  <c r="G55" i="14"/>
  <c r="F55" i="14"/>
  <c r="E55" i="14"/>
  <c r="D55" i="14"/>
  <c r="C55" i="14"/>
  <c r="B55" i="14"/>
  <c r="H54" i="14"/>
  <c r="G54" i="14"/>
  <c r="F54" i="14"/>
  <c r="E54" i="14"/>
  <c r="D54" i="14"/>
  <c r="C54" i="14"/>
  <c r="B54" i="14"/>
  <c r="H53" i="14"/>
  <c r="G53" i="14"/>
  <c r="F53" i="14"/>
  <c r="E53" i="14"/>
  <c r="D53" i="14"/>
  <c r="C53" i="14"/>
  <c r="B53" i="14"/>
  <c r="H52" i="14"/>
  <c r="G52" i="14"/>
  <c r="F52" i="14"/>
  <c r="E52" i="14"/>
  <c r="D52" i="14"/>
  <c r="C52" i="14"/>
  <c r="B52" i="14"/>
  <c r="H51" i="14"/>
  <c r="G51" i="14"/>
  <c r="F51" i="14"/>
  <c r="E51" i="14"/>
  <c r="D51" i="14"/>
  <c r="C51" i="14"/>
  <c r="B51" i="14"/>
  <c r="H50" i="14"/>
  <c r="G50" i="14"/>
  <c r="F50" i="14"/>
  <c r="E50" i="14"/>
  <c r="D50" i="14"/>
  <c r="C50" i="14"/>
  <c r="B50" i="14"/>
  <c r="H49" i="14"/>
  <c r="G49" i="14"/>
  <c r="F49" i="14"/>
  <c r="E49" i="14"/>
  <c r="D49" i="14"/>
  <c r="C49" i="14"/>
  <c r="B49" i="14"/>
  <c r="H48" i="14"/>
  <c r="G48" i="14"/>
  <c r="F48" i="14"/>
  <c r="E48" i="14"/>
  <c r="D48" i="14"/>
  <c r="C48" i="14"/>
  <c r="B48" i="14"/>
  <c r="H47" i="14"/>
  <c r="G47" i="14"/>
  <c r="F47" i="14"/>
  <c r="E47" i="14"/>
  <c r="D47" i="14"/>
  <c r="C47" i="14"/>
  <c r="B47" i="14"/>
  <c r="H46" i="14"/>
  <c r="G46" i="14"/>
  <c r="F46" i="14"/>
  <c r="E46" i="14"/>
  <c r="D46" i="14"/>
  <c r="C46" i="14"/>
  <c r="B46" i="14"/>
  <c r="H45" i="14"/>
  <c r="G45" i="14"/>
  <c r="F45" i="14"/>
  <c r="E45" i="14"/>
  <c r="D45" i="14"/>
  <c r="C45" i="14"/>
  <c r="B45" i="14"/>
  <c r="H44" i="14"/>
  <c r="G44" i="14"/>
  <c r="F44" i="14"/>
  <c r="E44" i="14"/>
  <c r="D44" i="14"/>
  <c r="C44" i="14"/>
  <c r="B44" i="14"/>
  <c r="H43" i="14"/>
  <c r="G43" i="14"/>
  <c r="F43" i="14"/>
  <c r="E43" i="14"/>
  <c r="D43" i="14"/>
  <c r="C43" i="14"/>
  <c r="B43" i="14"/>
  <c r="H42" i="14"/>
  <c r="G42" i="14"/>
  <c r="F42" i="14"/>
  <c r="E42" i="14"/>
  <c r="D42" i="14"/>
  <c r="C42" i="14"/>
  <c r="B42" i="14"/>
  <c r="H41" i="14"/>
  <c r="G41" i="14"/>
  <c r="F41" i="14"/>
  <c r="E41" i="14"/>
  <c r="D41" i="14"/>
  <c r="C41" i="14"/>
  <c r="B41" i="14"/>
  <c r="H40" i="14"/>
  <c r="G40" i="14"/>
  <c r="F40" i="14"/>
  <c r="E40" i="14"/>
  <c r="D40" i="14"/>
  <c r="C40" i="14"/>
  <c r="B40" i="14"/>
  <c r="H39" i="14"/>
  <c r="G39" i="14"/>
  <c r="F39" i="14"/>
  <c r="E39" i="14"/>
  <c r="D39" i="14"/>
  <c r="C39" i="14"/>
  <c r="B39" i="14"/>
  <c r="H38" i="14"/>
  <c r="G38" i="14"/>
  <c r="F38" i="14"/>
  <c r="E38" i="14"/>
  <c r="D38" i="14"/>
  <c r="C38" i="14"/>
  <c r="B38" i="14"/>
  <c r="H37" i="14"/>
  <c r="G37" i="14"/>
  <c r="F37" i="14"/>
  <c r="E37" i="14"/>
  <c r="D37" i="14"/>
  <c r="C37" i="14"/>
  <c r="B37" i="14"/>
  <c r="H36" i="14"/>
  <c r="G36" i="14"/>
  <c r="F36" i="14"/>
  <c r="E36" i="14"/>
  <c r="D36" i="14"/>
  <c r="C36" i="14"/>
  <c r="B36" i="14"/>
  <c r="H35" i="14"/>
  <c r="G35" i="14"/>
  <c r="F35" i="14"/>
  <c r="E35" i="14"/>
  <c r="D35" i="14"/>
  <c r="C35" i="14"/>
  <c r="B35" i="14"/>
  <c r="H34" i="14"/>
  <c r="G34" i="14"/>
  <c r="F34" i="14"/>
  <c r="E34" i="14"/>
  <c r="D34" i="14"/>
  <c r="C34" i="14"/>
  <c r="B34" i="14"/>
  <c r="H33" i="14"/>
  <c r="G33" i="14"/>
  <c r="F33" i="14"/>
  <c r="E33" i="14"/>
  <c r="D33" i="14"/>
  <c r="C33" i="14"/>
  <c r="B33" i="14"/>
  <c r="H32" i="14"/>
  <c r="G32" i="14"/>
  <c r="F32" i="14"/>
  <c r="E32" i="14"/>
  <c r="D32" i="14"/>
  <c r="C32" i="14"/>
  <c r="B32" i="14"/>
  <c r="H31" i="14"/>
  <c r="G31" i="14"/>
  <c r="F31" i="14"/>
  <c r="E31" i="14"/>
  <c r="D31" i="14"/>
  <c r="C31" i="14"/>
  <c r="B31" i="14"/>
  <c r="H30" i="14"/>
  <c r="G30" i="14"/>
  <c r="F30" i="14"/>
  <c r="E30" i="14"/>
  <c r="D30" i="14"/>
  <c r="C30" i="14"/>
  <c r="B30" i="14"/>
  <c r="H29" i="14"/>
  <c r="G29" i="14"/>
  <c r="F29" i="14"/>
  <c r="E29" i="14"/>
  <c r="D29" i="14"/>
  <c r="C29" i="14"/>
  <c r="B29" i="14"/>
  <c r="H28" i="14"/>
  <c r="G28" i="14"/>
  <c r="F28" i="14"/>
  <c r="E28" i="14"/>
  <c r="D28" i="14"/>
  <c r="C28" i="14"/>
  <c r="B28" i="14"/>
  <c r="H27" i="14"/>
  <c r="G27" i="14"/>
  <c r="F27" i="14"/>
  <c r="E27" i="14"/>
  <c r="D27" i="14"/>
  <c r="C27" i="14"/>
  <c r="B27" i="14"/>
  <c r="H26" i="14"/>
  <c r="G26" i="14"/>
  <c r="F26" i="14"/>
  <c r="E26" i="14"/>
  <c r="D26" i="14"/>
  <c r="C26" i="14"/>
  <c r="B26" i="14"/>
  <c r="H25" i="14"/>
  <c r="G25" i="14"/>
  <c r="F25" i="14"/>
  <c r="E25" i="14"/>
  <c r="D25" i="14"/>
  <c r="C25" i="14"/>
  <c r="B25" i="14"/>
  <c r="H24" i="14"/>
  <c r="G24" i="14"/>
  <c r="F24" i="14"/>
  <c r="E24" i="14"/>
  <c r="D24" i="14"/>
  <c r="C24" i="14"/>
  <c r="B24" i="14"/>
  <c r="H23" i="14"/>
  <c r="G23" i="14"/>
  <c r="F23" i="14"/>
  <c r="E23" i="14"/>
  <c r="D23" i="14"/>
  <c r="C23" i="14"/>
  <c r="B23" i="14"/>
  <c r="H22" i="14"/>
  <c r="G22" i="14"/>
  <c r="F22" i="14"/>
  <c r="E22" i="14"/>
  <c r="D22" i="14"/>
  <c r="C22" i="14"/>
  <c r="B22" i="14"/>
  <c r="H21" i="14"/>
  <c r="G21" i="14"/>
  <c r="F21" i="14"/>
  <c r="E21" i="14"/>
  <c r="D21" i="14"/>
  <c r="C21" i="14"/>
  <c r="B21" i="14"/>
  <c r="H20" i="14"/>
  <c r="G20" i="14"/>
  <c r="F20" i="14"/>
  <c r="E20" i="14"/>
  <c r="D20" i="14"/>
  <c r="C20" i="14"/>
  <c r="B20" i="14"/>
  <c r="H19" i="14"/>
  <c r="G19" i="14"/>
  <c r="F19" i="14"/>
  <c r="E19" i="14"/>
  <c r="D19" i="14"/>
  <c r="C19" i="14"/>
  <c r="B19" i="14"/>
  <c r="H18" i="14"/>
  <c r="G18" i="14"/>
  <c r="F18" i="14"/>
  <c r="E18" i="14"/>
  <c r="D18" i="14"/>
  <c r="C18" i="14"/>
  <c r="B18" i="14"/>
  <c r="H17" i="14"/>
  <c r="G17" i="14"/>
  <c r="F17" i="14"/>
  <c r="E17" i="14"/>
  <c r="D17" i="14"/>
  <c r="C17" i="14"/>
  <c r="B17" i="14"/>
  <c r="H16" i="14"/>
  <c r="G16" i="14"/>
  <c r="F16" i="14"/>
  <c r="E16" i="14"/>
  <c r="D16" i="14"/>
  <c r="C16" i="14"/>
  <c r="B16" i="14"/>
  <c r="H15" i="14"/>
  <c r="G15" i="14"/>
  <c r="F15" i="14"/>
  <c r="E15" i="14"/>
  <c r="D15" i="14"/>
  <c r="C15" i="14"/>
  <c r="B15" i="14"/>
  <c r="H14" i="14"/>
  <c r="G14" i="14"/>
  <c r="F14" i="14"/>
  <c r="E14" i="14"/>
  <c r="D14" i="14"/>
  <c r="C14" i="14"/>
  <c r="B14" i="14"/>
  <c r="H13" i="14"/>
  <c r="G13" i="14"/>
  <c r="F13" i="14"/>
  <c r="E13" i="14"/>
  <c r="D13" i="14"/>
  <c r="C13" i="14"/>
  <c r="B13" i="14"/>
  <c r="H12" i="14"/>
  <c r="G12" i="14"/>
  <c r="F12" i="14"/>
  <c r="E12" i="14"/>
  <c r="D12" i="14"/>
  <c r="C12" i="14"/>
  <c r="B12" i="14"/>
  <c r="H11" i="14"/>
  <c r="G11" i="14"/>
  <c r="F11" i="14"/>
  <c r="E11" i="14"/>
  <c r="D11" i="14"/>
  <c r="C11" i="14"/>
  <c r="B11" i="14"/>
  <c r="H10" i="14"/>
  <c r="G10" i="14"/>
  <c r="F10" i="14"/>
  <c r="E10" i="14"/>
  <c r="D10" i="14"/>
  <c r="C10" i="14"/>
  <c r="B10" i="14"/>
  <c r="H9" i="14"/>
  <c r="G9" i="14"/>
  <c r="F9" i="14"/>
  <c r="E9" i="14"/>
  <c r="D9" i="14"/>
  <c r="C9" i="14"/>
  <c r="B9" i="14"/>
  <c r="H8" i="14"/>
  <c r="G8" i="14"/>
  <c r="F8" i="14"/>
  <c r="E8" i="14"/>
  <c r="D8" i="14"/>
  <c r="C8" i="14"/>
  <c r="B8" i="14"/>
  <c r="H7" i="14"/>
  <c r="G7" i="14"/>
  <c r="F7" i="14"/>
  <c r="E7" i="14"/>
  <c r="D7" i="14"/>
  <c r="C7" i="14"/>
  <c r="B7" i="14"/>
  <c r="A7" i="14"/>
  <c r="H6" i="14"/>
  <c r="G6" i="14"/>
  <c r="F6" i="14"/>
  <c r="E6" i="14"/>
  <c r="D6" i="14"/>
  <c r="C6" i="14"/>
  <c r="B6" i="14"/>
  <c r="H5" i="14"/>
  <c r="G5" i="14"/>
  <c r="F5" i="14"/>
  <c r="E5" i="14"/>
  <c r="D5" i="14"/>
  <c r="C5" i="14"/>
  <c r="B5" i="14"/>
  <c r="H4" i="14"/>
  <c r="G4" i="14"/>
  <c r="F4" i="14"/>
  <c r="E4" i="14"/>
  <c r="D4" i="14"/>
  <c r="C4" i="14"/>
  <c r="B4" i="14"/>
  <c r="H3" i="14"/>
  <c r="G3" i="14"/>
  <c r="F3" i="14"/>
  <c r="E3" i="14"/>
  <c r="D3" i="14"/>
  <c r="C3" i="14"/>
  <c r="B3" i="14"/>
  <c r="H1" i="14"/>
  <c r="G1" i="14"/>
  <c r="F1" i="14"/>
  <c r="E1" i="14"/>
  <c r="D1" i="14"/>
  <c r="C1" i="14"/>
  <c r="B1" i="14"/>
  <c r="A1" i="14"/>
  <c r="H99" i="7"/>
  <c r="G99" i="7"/>
  <c r="F99" i="7"/>
  <c r="E99" i="7"/>
  <c r="D99" i="7"/>
  <c r="C99" i="7"/>
  <c r="B99" i="7"/>
  <c r="H98" i="7"/>
  <c r="G98" i="7"/>
  <c r="F98" i="7"/>
  <c r="E98" i="7"/>
  <c r="D98" i="7"/>
  <c r="C98" i="7"/>
  <c r="B98" i="7"/>
  <c r="H97" i="7"/>
  <c r="G97" i="7"/>
  <c r="F97" i="7"/>
  <c r="E97" i="7"/>
  <c r="D97" i="7"/>
  <c r="C97" i="7"/>
  <c r="B97" i="7"/>
  <c r="H96" i="7"/>
  <c r="G96" i="7"/>
  <c r="F96" i="7"/>
  <c r="E96" i="7"/>
  <c r="D96" i="7"/>
  <c r="C96" i="7"/>
  <c r="B96" i="7"/>
  <c r="H95" i="7"/>
  <c r="G95" i="7"/>
  <c r="F95" i="7"/>
  <c r="E95" i="7"/>
  <c r="D95" i="7"/>
  <c r="C95" i="7"/>
  <c r="B95" i="7"/>
  <c r="H94" i="7"/>
  <c r="G94" i="7"/>
  <c r="F94" i="7"/>
  <c r="E94" i="7"/>
  <c r="D94" i="7"/>
  <c r="C94" i="7"/>
  <c r="B94" i="7"/>
  <c r="H93" i="7"/>
  <c r="G93" i="7"/>
  <c r="F93" i="7"/>
  <c r="E93" i="7"/>
  <c r="D93" i="7"/>
  <c r="C93" i="7"/>
  <c r="B93" i="7"/>
  <c r="H92" i="7"/>
  <c r="G92" i="7"/>
  <c r="F92" i="7"/>
  <c r="E92" i="7"/>
  <c r="D92" i="7"/>
  <c r="C92" i="7"/>
  <c r="B92" i="7"/>
  <c r="H91" i="7"/>
  <c r="G91" i="7"/>
  <c r="F91" i="7"/>
  <c r="E91" i="7"/>
  <c r="D91" i="7"/>
  <c r="C91" i="7"/>
  <c r="B91" i="7"/>
  <c r="H90" i="7"/>
  <c r="G90" i="7"/>
  <c r="F90" i="7"/>
  <c r="E90" i="7"/>
  <c r="D90" i="7"/>
  <c r="C90" i="7"/>
  <c r="B90" i="7"/>
  <c r="H89" i="7"/>
  <c r="G89" i="7"/>
  <c r="F89" i="7"/>
  <c r="E89" i="7"/>
  <c r="D89" i="7"/>
  <c r="C89" i="7"/>
  <c r="B89" i="7"/>
  <c r="H88" i="7"/>
  <c r="G88" i="7"/>
  <c r="F88" i="7"/>
  <c r="E88" i="7"/>
  <c r="D88" i="7"/>
  <c r="C88" i="7"/>
  <c r="B88" i="7"/>
  <c r="H87" i="7"/>
  <c r="G87" i="7"/>
  <c r="F87" i="7"/>
  <c r="E87" i="7"/>
  <c r="D87" i="7"/>
  <c r="C87" i="7"/>
  <c r="B87" i="7"/>
  <c r="H86" i="7"/>
  <c r="G86" i="7"/>
  <c r="F86" i="7"/>
  <c r="E86" i="7"/>
  <c r="D86" i="7"/>
  <c r="C86" i="7"/>
  <c r="B86" i="7"/>
  <c r="H85" i="7"/>
  <c r="G85" i="7"/>
  <c r="F85" i="7"/>
  <c r="E85" i="7"/>
  <c r="D85" i="7"/>
  <c r="C85" i="7"/>
  <c r="B85" i="7"/>
  <c r="H84" i="7"/>
  <c r="G84" i="7"/>
  <c r="F84" i="7"/>
  <c r="E84" i="7"/>
  <c r="D84" i="7"/>
  <c r="C84" i="7"/>
  <c r="B84" i="7"/>
  <c r="H83" i="7"/>
  <c r="G83" i="7"/>
  <c r="F83" i="7"/>
  <c r="E83" i="7"/>
  <c r="D83" i="7"/>
  <c r="C83" i="7"/>
  <c r="B83" i="7"/>
  <c r="H82" i="7"/>
  <c r="G82" i="7"/>
  <c r="F82" i="7"/>
  <c r="E82" i="7"/>
  <c r="D82" i="7"/>
  <c r="C82" i="7"/>
  <c r="B82" i="7"/>
  <c r="H81" i="7"/>
  <c r="G81" i="7"/>
  <c r="F81" i="7"/>
  <c r="E81" i="7"/>
  <c r="D81" i="7"/>
  <c r="C81" i="7"/>
  <c r="B81" i="7"/>
  <c r="H80" i="7"/>
  <c r="G80" i="7"/>
  <c r="F80" i="7"/>
  <c r="E80" i="7"/>
  <c r="D80" i="7"/>
  <c r="C80" i="7"/>
  <c r="B80" i="7"/>
  <c r="H79" i="7"/>
  <c r="G79" i="7"/>
  <c r="F79" i="7"/>
  <c r="E79" i="7"/>
  <c r="D79" i="7"/>
  <c r="C79" i="7"/>
  <c r="B79" i="7"/>
  <c r="H78" i="7"/>
  <c r="G78" i="7"/>
  <c r="F78" i="7"/>
  <c r="E78" i="7"/>
  <c r="D78" i="7"/>
  <c r="C78" i="7"/>
  <c r="B78" i="7"/>
  <c r="H77" i="7"/>
  <c r="G77" i="7"/>
  <c r="F77" i="7"/>
  <c r="E77" i="7"/>
  <c r="D77" i="7"/>
  <c r="C77" i="7"/>
  <c r="B77" i="7"/>
  <c r="H76" i="7"/>
  <c r="G76" i="7"/>
  <c r="F76" i="7"/>
  <c r="E76" i="7"/>
  <c r="D76" i="7"/>
  <c r="C76" i="7"/>
  <c r="B76" i="7"/>
  <c r="H75" i="7"/>
  <c r="G75" i="7"/>
  <c r="F75" i="7"/>
  <c r="E75" i="7"/>
  <c r="D75" i="7"/>
  <c r="C75" i="7"/>
  <c r="B75" i="7"/>
  <c r="H74" i="7"/>
  <c r="G74" i="7"/>
  <c r="F74" i="7"/>
  <c r="E74" i="7"/>
  <c r="D74" i="7"/>
  <c r="C74" i="7"/>
  <c r="B74" i="7"/>
  <c r="H73" i="7"/>
  <c r="G73" i="7"/>
  <c r="F73" i="7"/>
  <c r="E73" i="7"/>
  <c r="D73" i="7"/>
  <c r="C73" i="7"/>
  <c r="B73" i="7"/>
  <c r="H72" i="7"/>
  <c r="G72" i="7"/>
  <c r="F72" i="7"/>
  <c r="E72" i="7"/>
  <c r="D72" i="7"/>
  <c r="C72" i="7"/>
  <c r="B72" i="7"/>
  <c r="H71" i="7"/>
  <c r="G71" i="7"/>
  <c r="F71" i="7"/>
  <c r="E71" i="7"/>
  <c r="D71" i="7"/>
  <c r="C71" i="7"/>
  <c r="B71" i="7"/>
  <c r="H70" i="7"/>
  <c r="G70" i="7"/>
  <c r="F70" i="7"/>
  <c r="E70" i="7"/>
  <c r="D70" i="7"/>
  <c r="C70" i="7"/>
  <c r="B70" i="7"/>
  <c r="H69" i="7"/>
  <c r="G69" i="7"/>
  <c r="F69" i="7"/>
  <c r="E69" i="7"/>
  <c r="D69" i="7"/>
  <c r="C69" i="7"/>
  <c r="B69" i="7"/>
  <c r="H68" i="7"/>
  <c r="G68" i="7"/>
  <c r="F68" i="7"/>
  <c r="E68" i="7"/>
  <c r="D68" i="7"/>
  <c r="C68" i="7"/>
  <c r="B68" i="7"/>
  <c r="H67" i="7"/>
  <c r="G67" i="7"/>
  <c r="F67" i="7"/>
  <c r="E67" i="7"/>
  <c r="D67" i="7"/>
  <c r="C67" i="7"/>
  <c r="B67" i="7"/>
  <c r="H66" i="7"/>
  <c r="G66" i="7"/>
  <c r="F66" i="7"/>
  <c r="E66" i="7"/>
  <c r="D66" i="7"/>
  <c r="C66" i="7"/>
  <c r="B66" i="7"/>
  <c r="H65" i="7"/>
  <c r="G65" i="7"/>
  <c r="F65" i="7"/>
  <c r="E65" i="7"/>
  <c r="D65" i="7"/>
  <c r="C65" i="7"/>
  <c r="B65" i="7"/>
  <c r="H64" i="7"/>
  <c r="G64" i="7"/>
  <c r="F64" i="7"/>
  <c r="E64" i="7"/>
  <c r="D64" i="7"/>
  <c r="C64" i="7"/>
  <c r="B64" i="7"/>
  <c r="H63" i="7"/>
  <c r="G63" i="7"/>
  <c r="F63" i="7"/>
  <c r="E63" i="7"/>
  <c r="D63" i="7"/>
  <c r="C63" i="7"/>
  <c r="B63" i="7"/>
  <c r="H62" i="7"/>
  <c r="G62" i="7"/>
  <c r="F62" i="7"/>
  <c r="E62" i="7"/>
  <c r="D62" i="7"/>
  <c r="C62" i="7"/>
  <c r="B62" i="7"/>
  <c r="H61" i="7"/>
  <c r="G61" i="7"/>
  <c r="F61" i="7"/>
  <c r="E61" i="7"/>
  <c r="D61" i="7"/>
  <c r="C61" i="7"/>
  <c r="B61" i="7"/>
  <c r="H60" i="7"/>
  <c r="G60" i="7"/>
  <c r="F60" i="7"/>
  <c r="E60" i="7"/>
  <c r="D60" i="7"/>
  <c r="C60" i="7"/>
  <c r="B60" i="7"/>
  <c r="H59" i="7"/>
  <c r="G59" i="7"/>
  <c r="F59" i="7"/>
  <c r="E59" i="7"/>
  <c r="D59" i="7"/>
  <c r="C59" i="7"/>
  <c r="B59" i="7"/>
  <c r="H58" i="7"/>
  <c r="G58" i="7"/>
  <c r="F58" i="7"/>
  <c r="E58" i="7"/>
  <c r="D58" i="7"/>
  <c r="C58" i="7"/>
  <c r="B58" i="7"/>
  <c r="H57" i="7"/>
  <c r="G57" i="7"/>
  <c r="F57" i="7"/>
  <c r="E57" i="7"/>
  <c r="D57" i="7"/>
  <c r="C57" i="7"/>
  <c r="B57" i="7"/>
  <c r="H56" i="7"/>
  <c r="G56" i="7"/>
  <c r="F56" i="7"/>
  <c r="E56" i="7"/>
  <c r="D56" i="7"/>
  <c r="C56" i="7"/>
  <c r="B56" i="7"/>
  <c r="H55" i="7"/>
  <c r="G55" i="7"/>
  <c r="F55" i="7"/>
  <c r="E55" i="7"/>
  <c r="D55" i="7"/>
  <c r="C55" i="7"/>
  <c r="B55" i="7"/>
  <c r="H54" i="7"/>
  <c r="G54" i="7"/>
  <c r="F54" i="7"/>
  <c r="E54" i="7"/>
  <c r="D54" i="7"/>
  <c r="C54" i="7"/>
  <c r="B54" i="7"/>
  <c r="H53" i="7"/>
  <c r="G53" i="7"/>
  <c r="F53" i="7"/>
  <c r="E53" i="7"/>
  <c r="D53" i="7"/>
  <c r="C53" i="7"/>
  <c r="B53" i="7"/>
  <c r="H52" i="7"/>
  <c r="G52" i="7"/>
  <c r="F52" i="7"/>
  <c r="E52" i="7"/>
  <c r="D52" i="7"/>
  <c r="C52" i="7"/>
  <c r="B52" i="7"/>
  <c r="H51" i="7"/>
  <c r="G51" i="7"/>
  <c r="F51" i="7"/>
  <c r="E51" i="7"/>
  <c r="D51" i="7"/>
  <c r="C51" i="7"/>
  <c r="B51" i="7"/>
  <c r="H50" i="7"/>
  <c r="G50" i="7"/>
  <c r="F50" i="7"/>
  <c r="E50" i="7"/>
  <c r="D50" i="7"/>
  <c r="C50" i="7"/>
  <c r="B50" i="7"/>
  <c r="H49" i="7"/>
  <c r="G49" i="7"/>
  <c r="F49" i="7"/>
  <c r="E49" i="7"/>
  <c r="D49" i="7"/>
  <c r="C49" i="7"/>
  <c r="B49" i="7"/>
  <c r="H48" i="7"/>
  <c r="G48" i="7"/>
  <c r="F48" i="7"/>
  <c r="E48" i="7"/>
  <c r="D48" i="7"/>
  <c r="C48" i="7"/>
  <c r="B48" i="7"/>
  <c r="H47" i="7"/>
  <c r="G47" i="7"/>
  <c r="F47" i="7"/>
  <c r="E47" i="7"/>
  <c r="D47" i="7"/>
  <c r="C47" i="7"/>
  <c r="B47" i="7"/>
  <c r="H46" i="7"/>
  <c r="G46" i="7"/>
  <c r="F46" i="7"/>
  <c r="E46" i="7"/>
  <c r="D46" i="7"/>
  <c r="C46" i="7"/>
  <c r="B46" i="7"/>
  <c r="H45" i="7"/>
  <c r="G45" i="7"/>
  <c r="F45" i="7"/>
  <c r="E45" i="7"/>
  <c r="D45" i="7"/>
  <c r="C45" i="7"/>
  <c r="B45" i="7"/>
  <c r="H44" i="7"/>
  <c r="G44" i="7"/>
  <c r="F44" i="7"/>
  <c r="E44" i="7"/>
  <c r="D44" i="7"/>
  <c r="C44" i="7"/>
  <c r="B44" i="7"/>
  <c r="H43" i="7"/>
  <c r="G43" i="7"/>
  <c r="F43" i="7"/>
  <c r="E43" i="7"/>
  <c r="D43" i="7"/>
  <c r="C43" i="7"/>
  <c r="B43" i="7"/>
  <c r="H42" i="7"/>
  <c r="G42" i="7"/>
  <c r="F42" i="7"/>
  <c r="E42" i="7"/>
  <c r="D42" i="7"/>
  <c r="C42" i="7"/>
  <c r="B42" i="7"/>
  <c r="H41" i="7"/>
  <c r="G41" i="7"/>
  <c r="F41" i="7"/>
  <c r="E41" i="7"/>
  <c r="D41" i="7"/>
  <c r="C41" i="7"/>
  <c r="B41" i="7"/>
  <c r="H40" i="7"/>
  <c r="G40" i="7"/>
  <c r="F40" i="7"/>
  <c r="E40" i="7"/>
  <c r="D40" i="7"/>
  <c r="C40" i="7"/>
  <c r="B40" i="7"/>
  <c r="H39" i="7"/>
  <c r="G39" i="7"/>
  <c r="F39" i="7"/>
  <c r="E39" i="7"/>
  <c r="D39" i="7"/>
  <c r="C39" i="7"/>
  <c r="B39" i="7"/>
  <c r="H38" i="7"/>
  <c r="G38" i="7"/>
  <c r="F38" i="7"/>
  <c r="E38" i="7"/>
  <c r="D38" i="7"/>
  <c r="C38" i="7"/>
  <c r="B38" i="7"/>
  <c r="H37" i="7"/>
  <c r="G37" i="7"/>
  <c r="F37" i="7"/>
  <c r="E37" i="7"/>
  <c r="D37" i="7"/>
  <c r="C37" i="7"/>
  <c r="B37" i="7"/>
  <c r="H36" i="7"/>
  <c r="G36" i="7"/>
  <c r="F36" i="7"/>
  <c r="E36" i="7"/>
  <c r="D36" i="7"/>
  <c r="C36" i="7"/>
  <c r="B36" i="7"/>
  <c r="H35" i="7"/>
  <c r="G35" i="7"/>
  <c r="F35" i="7"/>
  <c r="E35" i="7"/>
  <c r="D35" i="7"/>
  <c r="C35" i="7"/>
  <c r="B35" i="7"/>
  <c r="H34" i="7"/>
  <c r="G34" i="7"/>
  <c r="F34" i="7"/>
  <c r="E34" i="7"/>
  <c r="D34" i="7"/>
  <c r="C34" i="7"/>
  <c r="B34" i="7"/>
  <c r="H33" i="7"/>
  <c r="G33" i="7"/>
  <c r="F33" i="7"/>
  <c r="E33" i="7"/>
  <c r="D33" i="7"/>
  <c r="C33" i="7"/>
  <c r="B33" i="7"/>
  <c r="H32" i="7"/>
  <c r="G32" i="7"/>
  <c r="F32" i="7"/>
  <c r="E32" i="7"/>
  <c r="D32" i="7"/>
  <c r="C32" i="7"/>
  <c r="B32" i="7"/>
  <c r="H31" i="7"/>
  <c r="G31" i="7"/>
  <c r="F31" i="7"/>
  <c r="E31" i="7"/>
  <c r="D31" i="7"/>
  <c r="C31" i="7"/>
  <c r="B31" i="7"/>
  <c r="H30" i="7"/>
  <c r="G30" i="7"/>
  <c r="F30" i="7"/>
  <c r="E30" i="7"/>
  <c r="D30" i="7"/>
  <c r="C30" i="7"/>
  <c r="B30" i="7"/>
  <c r="H29" i="7"/>
  <c r="G29" i="7"/>
  <c r="F29" i="7"/>
  <c r="E29" i="7"/>
  <c r="D29" i="7"/>
  <c r="C29" i="7"/>
  <c r="B29" i="7"/>
  <c r="H28" i="7"/>
  <c r="G28" i="7"/>
  <c r="F28" i="7"/>
  <c r="E28" i="7"/>
  <c r="D28" i="7"/>
  <c r="C28" i="7"/>
  <c r="B28" i="7"/>
  <c r="H27" i="7"/>
  <c r="G27" i="7"/>
  <c r="F27" i="7"/>
  <c r="E27" i="7"/>
  <c r="D27" i="7"/>
  <c r="C27" i="7"/>
  <c r="B27" i="7"/>
  <c r="H26" i="7"/>
  <c r="G26" i="7"/>
  <c r="F26" i="7"/>
  <c r="E26" i="7"/>
  <c r="D26" i="7"/>
  <c r="C26" i="7"/>
  <c r="B26" i="7"/>
  <c r="H25" i="7"/>
  <c r="G25" i="7"/>
  <c r="F25" i="7"/>
  <c r="E25" i="7"/>
  <c r="D25" i="7"/>
  <c r="C25" i="7"/>
  <c r="B25" i="7"/>
  <c r="H24" i="7"/>
  <c r="G24" i="7"/>
  <c r="F24" i="7"/>
  <c r="E24" i="7"/>
  <c r="D24" i="7"/>
  <c r="C24" i="7"/>
  <c r="B24" i="7"/>
  <c r="H23" i="7"/>
  <c r="G23" i="7"/>
  <c r="F23" i="7"/>
  <c r="E23" i="7"/>
  <c r="D23" i="7"/>
  <c r="C23" i="7"/>
  <c r="B23" i="7"/>
  <c r="H22" i="7"/>
  <c r="G22" i="7"/>
  <c r="F22" i="7"/>
  <c r="E22" i="7"/>
  <c r="D22" i="7"/>
  <c r="C22" i="7"/>
  <c r="B22" i="7"/>
  <c r="H21" i="7"/>
  <c r="G21" i="7"/>
  <c r="F21" i="7"/>
  <c r="E21" i="7"/>
  <c r="D21" i="7"/>
  <c r="C21" i="7"/>
  <c r="B21" i="7"/>
  <c r="H20" i="7"/>
  <c r="G20" i="7"/>
  <c r="F20" i="7"/>
  <c r="E20" i="7"/>
  <c r="D20" i="7"/>
  <c r="C20" i="7"/>
  <c r="B20" i="7"/>
  <c r="H19" i="7"/>
  <c r="G19" i="7"/>
  <c r="F19" i="7"/>
  <c r="E19" i="7"/>
  <c r="D19" i="7"/>
  <c r="C19" i="7"/>
  <c r="B19" i="7"/>
  <c r="H18" i="7"/>
  <c r="G18" i="7"/>
  <c r="F18" i="7"/>
  <c r="E18" i="7"/>
  <c r="D18" i="7"/>
  <c r="C18" i="7"/>
  <c r="B18" i="7"/>
  <c r="H17" i="7"/>
  <c r="G17" i="7"/>
  <c r="F17" i="7"/>
  <c r="E17" i="7"/>
  <c r="D17" i="7"/>
  <c r="C17" i="7"/>
  <c r="B17" i="7"/>
  <c r="H16" i="7"/>
  <c r="G16" i="7"/>
  <c r="F16" i="7"/>
  <c r="E16" i="7"/>
  <c r="D16" i="7"/>
  <c r="C16" i="7"/>
  <c r="B16" i="7"/>
  <c r="H15" i="7"/>
  <c r="G15" i="7"/>
  <c r="F15" i="7"/>
  <c r="E15" i="7"/>
  <c r="D15" i="7"/>
  <c r="C15" i="7"/>
  <c r="B15" i="7"/>
  <c r="H14" i="7"/>
  <c r="G14" i="7"/>
  <c r="F14" i="7"/>
  <c r="E14" i="7"/>
  <c r="D14" i="7"/>
  <c r="C14" i="7"/>
  <c r="B14" i="7"/>
  <c r="H13" i="7"/>
  <c r="G13" i="7"/>
  <c r="F13" i="7"/>
  <c r="E13" i="7"/>
  <c r="D13" i="7"/>
  <c r="C13" i="7"/>
  <c r="B13" i="7"/>
  <c r="H12" i="7"/>
  <c r="G12" i="7"/>
  <c r="F12" i="7"/>
  <c r="E12" i="7"/>
  <c r="D12" i="7"/>
  <c r="C12" i="7"/>
  <c r="B12" i="7"/>
  <c r="H11" i="7"/>
  <c r="G11" i="7"/>
  <c r="F11" i="7"/>
  <c r="E11" i="7"/>
  <c r="D11" i="7"/>
  <c r="C11" i="7"/>
  <c r="B11" i="7"/>
  <c r="H10" i="7"/>
  <c r="G10" i="7"/>
  <c r="F10" i="7"/>
  <c r="E10" i="7"/>
  <c r="D10" i="7"/>
  <c r="C10" i="7"/>
  <c r="B10" i="7"/>
  <c r="H9" i="7"/>
  <c r="G9" i="7"/>
  <c r="F9" i="7"/>
  <c r="E9" i="7"/>
  <c r="D9" i="7"/>
  <c r="C9" i="7"/>
  <c r="B9" i="7"/>
  <c r="H8" i="7"/>
  <c r="G8" i="7"/>
  <c r="F8" i="7"/>
  <c r="E8" i="7"/>
  <c r="D8" i="7"/>
  <c r="C8" i="7"/>
  <c r="B8" i="7"/>
  <c r="H7" i="7"/>
  <c r="G7" i="7"/>
  <c r="F7" i="7"/>
  <c r="E7" i="7"/>
  <c r="D7" i="7"/>
  <c r="C7" i="7"/>
  <c r="B7" i="7"/>
  <c r="H5" i="7"/>
  <c r="G5" i="7"/>
  <c r="F5" i="7"/>
  <c r="E5" i="7"/>
  <c r="D5" i="7"/>
  <c r="C5" i="7"/>
  <c r="H4" i="7"/>
  <c r="G4" i="7"/>
  <c r="F4" i="7"/>
  <c r="E4" i="7"/>
  <c r="D4" i="7"/>
  <c r="C4" i="7"/>
  <c r="H3" i="7"/>
  <c r="G3" i="7"/>
  <c r="F3" i="7"/>
  <c r="E3" i="7"/>
  <c r="D3" i="7"/>
  <c r="C3" i="7"/>
  <c r="B3" i="7"/>
  <c r="A3" i="7"/>
  <c r="H1" i="7"/>
  <c r="G1" i="7"/>
  <c r="F1" i="7"/>
  <c r="E1" i="7"/>
  <c r="D1" i="7"/>
  <c r="C1" i="7"/>
  <c r="B1" i="7"/>
  <c r="A1" i="7"/>
  <c r="H99" i="17"/>
  <c r="G99" i="17"/>
  <c r="F99" i="17"/>
  <c r="E99" i="17"/>
  <c r="D99" i="17"/>
  <c r="C99" i="17"/>
  <c r="B99" i="17"/>
  <c r="H98" i="17"/>
  <c r="G98" i="17"/>
  <c r="F98" i="17"/>
  <c r="E98" i="17"/>
  <c r="D98" i="17"/>
  <c r="C98" i="17"/>
  <c r="B98" i="17"/>
  <c r="H97" i="17"/>
  <c r="G97" i="17"/>
  <c r="F97" i="17"/>
  <c r="E97" i="17"/>
  <c r="D97" i="17"/>
  <c r="C97" i="17"/>
  <c r="B97" i="17"/>
  <c r="H96" i="17"/>
  <c r="G96" i="17"/>
  <c r="F96" i="17"/>
  <c r="E96" i="17"/>
  <c r="D96" i="17"/>
  <c r="C96" i="17"/>
  <c r="B96" i="17"/>
  <c r="H95" i="17"/>
  <c r="G95" i="17"/>
  <c r="F95" i="17"/>
  <c r="E95" i="17"/>
  <c r="D95" i="17"/>
  <c r="C95" i="17"/>
  <c r="B95" i="17"/>
  <c r="H94" i="17"/>
  <c r="G94" i="17"/>
  <c r="F94" i="17"/>
  <c r="E94" i="17"/>
  <c r="D94" i="17"/>
  <c r="C94" i="17"/>
  <c r="B94" i="17"/>
  <c r="H93" i="17"/>
  <c r="G93" i="17"/>
  <c r="F93" i="17"/>
  <c r="E93" i="17"/>
  <c r="D93" i="17"/>
  <c r="C93" i="17"/>
  <c r="B93" i="17"/>
  <c r="H92" i="17"/>
  <c r="G92" i="17"/>
  <c r="F92" i="17"/>
  <c r="E92" i="17"/>
  <c r="D92" i="17"/>
  <c r="C92" i="17"/>
  <c r="B92" i="17"/>
  <c r="H91" i="17"/>
  <c r="G91" i="17"/>
  <c r="F91" i="17"/>
  <c r="E91" i="17"/>
  <c r="D91" i="17"/>
  <c r="C91" i="17"/>
  <c r="B91" i="17"/>
  <c r="H90" i="17"/>
  <c r="G90" i="17"/>
  <c r="F90" i="17"/>
  <c r="E90" i="17"/>
  <c r="D90" i="17"/>
  <c r="C90" i="17"/>
  <c r="B90" i="17"/>
  <c r="H89" i="17"/>
  <c r="G89" i="17"/>
  <c r="F89" i="17"/>
  <c r="E89" i="17"/>
  <c r="D89" i="17"/>
  <c r="C89" i="17"/>
  <c r="B89" i="17"/>
  <c r="H88" i="17"/>
  <c r="G88" i="17"/>
  <c r="F88" i="17"/>
  <c r="E88" i="17"/>
  <c r="D88" i="17"/>
  <c r="C88" i="17"/>
  <c r="B88" i="17"/>
  <c r="H87" i="17"/>
  <c r="G87" i="17"/>
  <c r="F87" i="17"/>
  <c r="E87" i="17"/>
  <c r="D87" i="17"/>
  <c r="C87" i="17"/>
  <c r="B87" i="17"/>
  <c r="H86" i="17"/>
  <c r="G86" i="17"/>
  <c r="F86" i="17"/>
  <c r="E86" i="17"/>
  <c r="D86" i="17"/>
  <c r="C86" i="17"/>
  <c r="B86" i="17"/>
  <c r="H85" i="17"/>
  <c r="G85" i="17"/>
  <c r="F85" i="17"/>
  <c r="E85" i="17"/>
  <c r="D85" i="17"/>
  <c r="C85" i="17"/>
  <c r="B85" i="17"/>
  <c r="H84" i="17"/>
  <c r="G84" i="17"/>
  <c r="F84" i="17"/>
  <c r="E84" i="17"/>
  <c r="D84" i="17"/>
  <c r="C84" i="17"/>
  <c r="B84" i="17"/>
  <c r="H83" i="17"/>
  <c r="G83" i="17"/>
  <c r="F83" i="17"/>
  <c r="E83" i="17"/>
  <c r="D83" i="17"/>
  <c r="C83" i="17"/>
  <c r="B83" i="17"/>
  <c r="H82" i="17"/>
  <c r="G82" i="17"/>
  <c r="F82" i="17"/>
  <c r="E82" i="17"/>
  <c r="D82" i="17"/>
  <c r="C82" i="17"/>
  <c r="B82" i="17"/>
  <c r="H81" i="17"/>
  <c r="G81" i="17"/>
  <c r="F81" i="17"/>
  <c r="E81" i="17"/>
  <c r="D81" i="17"/>
  <c r="C81" i="17"/>
  <c r="B81" i="17"/>
  <c r="H80" i="17"/>
  <c r="G80" i="17"/>
  <c r="F80" i="17"/>
  <c r="E80" i="17"/>
  <c r="D80" i="17"/>
  <c r="C80" i="17"/>
  <c r="B80" i="17"/>
  <c r="H79" i="17"/>
  <c r="G79" i="17"/>
  <c r="F79" i="17"/>
  <c r="E79" i="17"/>
  <c r="D79" i="17"/>
  <c r="C79" i="17"/>
  <c r="B79" i="17"/>
  <c r="H78" i="17"/>
  <c r="G78" i="17"/>
  <c r="F78" i="17"/>
  <c r="E78" i="17"/>
  <c r="D78" i="17"/>
  <c r="C78" i="17"/>
  <c r="B78" i="17"/>
  <c r="H77" i="17"/>
  <c r="G77" i="17"/>
  <c r="F77" i="17"/>
  <c r="E77" i="17"/>
  <c r="D77" i="17"/>
  <c r="C77" i="17"/>
  <c r="B77" i="17"/>
  <c r="H76" i="17"/>
  <c r="G76" i="17"/>
  <c r="F76" i="17"/>
  <c r="E76" i="17"/>
  <c r="D76" i="17"/>
  <c r="C76" i="17"/>
  <c r="B76" i="17"/>
  <c r="H75" i="17"/>
  <c r="G75" i="17"/>
  <c r="F75" i="17"/>
  <c r="E75" i="17"/>
  <c r="D75" i="17"/>
  <c r="C75" i="17"/>
  <c r="B75" i="17"/>
  <c r="H74" i="17"/>
  <c r="G74" i="17"/>
  <c r="F74" i="17"/>
  <c r="E74" i="17"/>
  <c r="D74" i="17"/>
  <c r="C74" i="17"/>
  <c r="B74" i="17"/>
  <c r="H73" i="17"/>
  <c r="G73" i="17"/>
  <c r="F73" i="17"/>
  <c r="E73" i="17"/>
  <c r="D73" i="17"/>
  <c r="C73" i="17"/>
  <c r="B73" i="17"/>
  <c r="H72" i="17"/>
  <c r="G72" i="17"/>
  <c r="F72" i="17"/>
  <c r="E72" i="17"/>
  <c r="D72" i="17"/>
  <c r="C72" i="17"/>
  <c r="B72" i="17"/>
  <c r="H71" i="17"/>
  <c r="G71" i="17"/>
  <c r="F71" i="17"/>
  <c r="E71" i="17"/>
  <c r="D71" i="17"/>
  <c r="C71" i="17"/>
  <c r="B71" i="17"/>
  <c r="H70" i="17"/>
  <c r="G70" i="17"/>
  <c r="F70" i="17"/>
  <c r="E70" i="17"/>
  <c r="D70" i="17"/>
  <c r="C70" i="17"/>
  <c r="B70" i="17"/>
  <c r="H69" i="17"/>
  <c r="G69" i="17"/>
  <c r="F69" i="17"/>
  <c r="E69" i="17"/>
  <c r="D69" i="17"/>
  <c r="C69" i="17"/>
  <c r="B69" i="17"/>
  <c r="H68" i="17"/>
  <c r="G68" i="17"/>
  <c r="F68" i="17"/>
  <c r="E68" i="17"/>
  <c r="D68" i="17"/>
  <c r="C68" i="17"/>
  <c r="B68" i="17"/>
  <c r="H67" i="17"/>
  <c r="G67" i="17"/>
  <c r="F67" i="17"/>
  <c r="E67" i="17"/>
  <c r="D67" i="17"/>
  <c r="C67" i="17"/>
  <c r="B67" i="17"/>
  <c r="H66" i="17"/>
  <c r="G66" i="17"/>
  <c r="F66" i="17"/>
  <c r="E66" i="17"/>
  <c r="D66" i="17"/>
  <c r="C66" i="17"/>
  <c r="B66" i="17"/>
  <c r="H65" i="17"/>
  <c r="G65" i="17"/>
  <c r="F65" i="17"/>
  <c r="E65" i="17"/>
  <c r="D65" i="17"/>
  <c r="C65" i="17"/>
  <c r="B65" i="17"/>
  <c r="H64" i="17"/>
  <c r="G64" i="17"/>
  <c r="F64" i="17"/>
  <c r="E64" i="17"/>
  <c r="D64" i="17"/>
  <c r="C64" i="17"/>
  <c r="B64" i="17"/>
  <c r="H63" i="17"/>
  <c r="G63" i="17"/>
  <c r="F63" i="17"/>
  <c r="E63" i="17"/>
  <c r="D63" i="17"/>
  <c r="C63" i="17"/>
  <c r="B63" i="17"/>
  <c r="H62" i="17"/>
  <c r="G62" i="17"/>
  <c r="F62" i="17"/>
  <c r="E62" i="17"/>
  <c r="D62" i="17"/>
  <c r="C62" i="17"/>
  <c r="B62" i="17"/>
  <c r="H61" i="17"/>
  <c r="G61" i="17"/>
  <c r="F61" i="17"/>
  <c r="E61" i="17"/>
  <c r="D61" i="17"/>
  <c r="C61" i="17"/>
  <c r="B61" i="17"/>
  <c r="H60" i="17"/>
  <c r="G60" i="17"/>
  <c r="F60" i="17"/>
  <c r="E60" i="17"/>
  <c r="D60" i="17"/>
  <c r="C60" i="17"/>
  <c r="B60" i="17"/>
  <c r="H59" i="17"/>
  <c r="G59" i="17"/>
  <c r="F59" i="17"/>
  <c r="E59" i="17"/>
  <c r="D59" i="17"/>
  <c r="C59" i="17"/>
  <c r="B59" i="17"/>
  <c r="H58" i="17"/>
  <c r="G58" i="17"/>
  <c r="F58" i="17"/>
  <c r="E58" i="17"/>
  <c r="D58" i="17"/>
  <c r="C58" i="17"/>
  <c r="B58" i="17"/>
  <c r="H57" i="17"/>
  <c r="G57" i="17"/>
  <c r="F57" i="17"/>
  <c r="E57" i="17"/>
  <c r="D57" i="17"/>
  <c r="C57" i="17"/>
  <c r="B57" i="17"/>
  <c r="H56" i="17"/>
  <c r="G56" i="17"/>
  <c r="F56" i="17"/>
  <c r="E56" i="17"/>
  <c r="D56" i="17"/>
  <c r="C56" i="17"/>
  <c r="B56" i="17"/>
  <c r="H55" i="17"/>
  <c r="G55" i="17"/>
  <c r="F55" i="17"/>
  <c r="E55" i="17"/>
  <c r="D55" i="17"/>
  <c r="C55" i="17"/>
  <c r="B55" i="17"/>
  <c r="H54" i="17"/>
  <c r="G54" i="17"/>
  <c r="F54" i="17"/>
  <c r="E54" i="17"/>
  <c r="D54" i="17"/>
  <c r="C54" i="17"/>
  <c r="B54" i="17"/>
  <c r="H53" i="17"/>
  <c r="G53" i="17"/>
  <c r="F53" i="17"/>
  <c r="E53" i="17"/>
  <c r="D53" i="17"/>
  <c r="C53" i="17"/>
  <c r="B53" i="17"/>
  <c r="H52" i="17"/>
  <c r="G52" i="17"/>
  <c r="F52" i="17"/>
  <c r="E52" i="17"/>
  <c r="D52" i="17"/>
  <c r="C52" i="17"/>
  <c r="B52" i="17"/>
  <c r="H51" i="17"/>
  <c r="G51" i="17"/>
  <c r="F51" i="17"/>
  <c r="E51" i="17"/>
  <c r="D51" i="17"/>
  <c r="C51" i="17"/>
  <c r="B51" i="17"/>
  <c r="H50" i="17"/>
  <c r="G50" i="17"/>
  <c r="F50" i="17"/>
  <c r="E50" i="17"/>
  <c r="D50" i="17"/>
  <c r="C50" i="17"/>
  <c r="B50" i="17"/>
  <c r="H49" i="17"/>
  <c r="G49" i="17"/>
  <c r="F49" i="17"/>
  <c r="E49" i="17"/>
  <c r="D49" i="17"/>
  <c r="C49" i="17"/>
  <c r="B49" i="17"/>
  <c r="H48" i="17"/>
  <c r="G48" i="17"/>
  <c r="F48" i="17"/>
  <c r="E48" i="17"/>
  <c r="D48" i="17"/>
  <c r="C48" i="17"/>
  <c r="B48" i="17"/>
  <c r="H47" i="17"/>
  <c r="G47" i="17"/>
  <c r="F47" i="17"/>
  <c r="E47" i="17"/>
  <c r="D47" i="17"/>
  <c r="C47" i="17"/>
  <c r="B47" i="17"/>
  <c r="H46" i="17"/>
  <c r="G46" i="17"/>
  <c r="F46" i="17"/>
  <c r="E46" i="17"/>
  <c r="D46" i="17"/>
  <c r="C46" i="17"/>
  <c r="B46" i="17"/>
  <c r="H45" i="17"/>
  <c r="G45" i="17"/>
  <c r="F45" i="17"/>
  <c r="E45" i="17"/>
  <c r="D45" i="17"/>
  <c r="C45" i="17"/>
  <c r="B45" i="17"/>
  <c r="H44" i="17"/>
  <c r="G44" i="17"/>
  <c r="F44" i="17"/>
  <c r="E44" i="17"/>
  <c r="D44" i="17"/>
  <c r="C44" i="17"/>
  <c r="B44" i="17"/>
  <c r="H43" i="17"/>
  <c r="G43" i="17"/>
  <c r="F43" i="17"/>
  <c r="E43" i="17"/>
  <c r="D43" i="17"/>
  <c r="C43" i="17"/>
  <c r="B43" i="17"/>
  <c r="H42" i="17"/>
  <c r="G42" i="17"/>
  <c r="F42" i="17"/>
  <c r="E42" i="17"/>
  <c r="D42" i="17"/>
  <c r="C42" i="17"/>
  <c r="B42" i="17"/>
  <c r="H41" i="17"/>
  <c r="G41" i="17"/>
  <c r="F41" i="17"/>
  <c r="E41" i="17"/>
  <c r="D41" i="17"/>
  <c r="C41" i="17"/>
  <c r="B41" i="17"/>
  <c r="H40" i="17"/>
  <c r="G40" i="17"/>
  <c r="F40" i="17"/>
  <c r="E40" i="17"/>
  <c r="D40" i="17"/>
  <c r="C40" i="17"/>
  <c r="B40" i="17"/>
  <c r="H39" i="17"/>
  <c r="G39" i="17"/>
  <c r="F39" i="17"/>
  <c r="E39" i="17"/>
  <c r="D39" i="17"/>
  <c r="C39" i="17"/>
  <c r="B39" i="17"/>
  <c r="H38" i="17"/>
  <c r="G38" i="17"/>
  <c r="F38" i="17"/>
  <c r="E38" i="17"/>
  <c r="D38" i="17"/>
  <c r="C38" i="17"/>
  <c r="B38" i="17"/>
  <c r="H37" i="17"/>
  <c r="G37" i="17"/>
  <c r="F37" i="17"/>
  <c r="E37" i="17"/>
  <c r="D37" i="17"/>
  <c r="C37" i="17"/>
  <c r="B37" i="17"/>
  <c r="H36" i="17"/>
  <c r="G36" i="17"/>
  <c r="F36" i="17"/>
  <c r="E36" i="17"/>
  <c r="D36" i="17"/>
  <c r="C36" i="17"/>
  <c r="B36" i="17"/>
  <c r="H35" i="17"/>
  <c r="G35" i="17"/>
  <c r="F35" i="17"/>
  <c r="E35" i="17"/>
  <c r="D35" i="17"/>
  <c r="C35" i="17"/>
  <c r="B35" i="17"/>
  <c r="H34" i="17"/>
  <c r="G34" i="17"/>
  <c r="F34" i="17"/>
  <c r="E34" i="17"/>
  <c r="D34" i="17"/>
  <c r="C34" i="17"/>
  <c r="B34" i="17"/>
  <c r="H33" i="17"/>
  <c r="G33" i="17"/>
  <c r="F33" i="17"/>
  <c r="E33" i="17"/>
  <c r="D33" i="17"/>
  <c r="C33" i="17"/>
  <c r="B33" i="17"/>
  <c r="H32" i="17"/>
  <c r="G32" i="17"/>
  <c r="F32" i="17"/>
  <c r="E32" i="17"/>
  <c r="D32" i="17"/>
  <c r="C32" i="17"/>
  <c r="B32" i="17"/>
  <c r="H31" i="17"/>
  <c r="G31" i="17"/>
  <c r="F31" i="17"/>
  <c r="E31" i="17"/>
  <c r="D31" i="17"/>
  <c r="C31" i="17"/>
  <c r="B31" i="17"/>
  <c r="H30" i="17"/>
  <c r="G30" i="17"/>
  <c r="F30" i="17"/>
  <c r="E30" i="17"/>
  <c r="D30" i="17"/>
  <c r="C30" i="17"/>
  <c r="B30" i="17"/>
  <c r="H29" i="17"/>
  <c r="G29" i="17"/>
  <c r="F29" i="17"/>
  <c r="E29" i="17"/>
  <c r="D29" i="17"/>
  <c r="C29" i="17"/>
  <c r="B29" i="17"/>
  <c r="H28" i="17"/>
  <c r="G28" i="17"/>
  <c r="F28" i="17"/>
  <c r="E28" i="17"/>
  <c r="D28" i="17"/>
  <c r="C28" i="17"/>
  <c r="B28" i="17"/>
  <c r="H27" i="17"/>
  <c r="G27" i="17"/>
  <c r="F27" i="17"/>
  <c r="E27" i="17"/>
  <c r="D27" i="17"/>
  <c r="C27" i="17"/>
  <c r="B27" i="17"/>
  <c r="H26" i="17"/>
  <c r="G26" i="17"/>
  <c r="F26" i="17"/>
  <c r="E26" i="17"/>
  <c r="D26" i="17"/>
  <c r="C26" i="17"/>
  <c r="B26" i="17"/>
  <c r="H25" i="17"/>
  <c r="G25" i="17"/>
  <c r="F25" i="17"/>
  <c r="E25" i="17"/>
  <c r="D25" i="17"/>
  <c r="C25" i="17"/>
  <c r="B25" i="17"/>
  <c r="H24" i="17"/>
  <c r="G24" i="17"/>
  <c r="F24" i="17"/>
  <c r="E24" i="17"/>
  <c r="D24" i="17"/>
  <c r="C24" i="17"/>
  <c r="B24" i="17"/>
  <c r="H23" i="17"/>
  <c r="G23" i="17"/>
  <c r="F23" i="17"/>
  <c r="E23" i="17"/>
  <c r="D23" i="17"/>
  <c r="C23" i="17"/>
  <c r="B23" i="17"/>
  <c r="H22" i="17"/>
  <c r="G22" i="17"/>
  <c r="F22" i="17"/>
  <c r="E22" i="17"/>
  <c r="D22" i="17"/>
  <c r="C22" i="17"/>
  <c r="B22" i="17"/>
  <c r="H21" i="17"/>
  <c r="G21" i="17"/>
  <c r="F21" i="17"/>
  <c r="E21" i="17"/>
  <c r="D21" i="17"/>
  <c r="C21" i="17"/>
  <c r="B21" i="17"/>
  <c r="H20" i="17"/>
  <c r="G20" i="17"/>
  <c r="F20" i="17"/>
  <c r="E20" i="17"/>
  <c r="D20" i="17"/>
  <c r="C20" i="17"/>
  <c r="B20" i="17"/>
  <c r="H19" i="17"/>
  <c r="G19" i="17"/>
  <c r="F19" i="17"/>
  <c r="E19" i="17"/>
  <c r="D19" i="17"/>
  <c r="C19" i="17"/>
  <c r="B19" i="17"/>
  <c r="H18" i="17"/>
  <c r="G18" i="17"/>
  <c r="F18" i="17"/>
  <c r="E18" i="17"/>
  <c r="D18" i="17"/>
  <c r="C18" i="17"/>
  <c r="B18" i="17"/>
  <c r="H17" i="17"/>
  <c r="G17" i="17"/>
  <c r="F17" i="17"/>
  <c r="E17" i="17"/>
  <c r="D17" i="17"/>
  <c r="C17" i="17"/>
  <c r="B17" i="17"/>
  <c r="H16" i="17"/>
  <c r="G16" i="17"/>
  <c r="F16" i="17"/>
  <c r="E16" i="17"/>
  <c r="D16" i="17"/>
  <c r="C16" i="17"/>
  <c r="B16" i="17"/>
  <c r="H15" i="17"/>
  <c r="G15" i="17"/>
  <c r="F15" i="17"/>
  <c r="E15" i="17"/>
  <c r="D15" i="17"/>
  <c r="C15" i="17"/>
  <c r="B15" i="17"/>
  <c r="H14" i="17"/>
  <c r="G14" i="17"/>
  <c r="F14" i="17"/>
  <c r="E14" i="17"/>
  <c r="D14" i="17"/>
  <c r="C14" i="17"/>
  <c r="B14" i="17"/>
  <c r="H13" i="17"/>
  <c r="G13" i="17"/>
  <c r="F13" i="17"/>
  <c r="E13" i="17"/>
  <c r="D13" i="17"/>
  <c r="C13" i="17"/>
  <c r="B13" i="17"/>
  <c r="H12" i="17"/>
  <c r="G12" i="17"/>
  <c r="F12" i="17"/>
  <c r="E12" i="17"/>
  <c r="D12" i="17"/>
  <c r="C12" i="17"/>
  <c r="B12" i="17"/>
  <c r="H11" i="17"/>
  <c r="G11" i="17"/>
  <c r="F11" i="17"/>
  <c r="E11" i="17"/>
  <c r="D11" i="17"/>
  <c r="C11" i="17"/>
  <c r="B11" i="17"/>
  <c r="H10" i="17"/>
  <c r="G10" i="17"/>
  <c r="F10" i="17"/>
  <c r="E10" i="17"/>
  <c r="D10" i="17"/>
  <c r="C10" i="17"/>
  <c r="B10" i="17"/>
  <c r="H9" i="17"/>
  <c r="G9" i="17"/>
  <c r="F9" i="17"/>
  <c r="E9" i="17"/>
  <c r="D9" i="17"/>
  <c r="C9" i="17"/>
  <c r="B9" i="17"/>
  <c r="H8" i="17"/>
  <c r="G8" i="17"/>
  <c r="F8" i="17"/>
  <c r="E8" i="17"/>
  <c r="D8" i="17"/>
  <c r="C8" i="17"/>
  <c r="B8" i="17"/>
  <c r="H7" i="17"/>
  <c r="G7" i="17"/>
  <c r="F7" i="17"/>
  <c r="E7" i="17"/>
  <c r="D7" i="17"/>
  <c r="C7" i="17"/>
  <c r="B7" i="17"/>
  <c r="H6" i="17"/>
  <c r="G6" i="17"/>
  <c r="F6" i="17"/>
  <c r="E6" i="17"/>
  <c r="D6" i="17"/>
  <c r="C6" i="17"/>
  <c r="B6" i="17"/>
  <c r="H5" i="17"/>
  <c r="G5" i="17"/>
  <c r="F5" i="17"/>
  <c r="E5" i="17"/>
  <c r="D5" i="17"/>
  <c r="C5" i="17"/>
  <c r="B5" i="17"/>
  <c r="H4" i="17"/>
  <c r="G4" i="17"/>
  <c r="F4" i="17"/>
  <c r="E4" i="17"/>
  <c r="D4" i="17"/>
  <c r="C4" i="17"/>
  <c r="B4" i="17"/>
  <c r="H3" i="17"/>
  <c r="G3" i="17"/>
  <c r="F3" i="17"/>
  <c r="E3" i="17"/>
  <c r="D3" i="17"/>
  <c r="C3" i="17"/>
  <c r="B3" i="17"/>
  <c r="A3" i="17"/>
  <c r="H1" i="17"/>
  <c r="G1" i="17"/>
  <c r="F1" i="17"/>
  <c r="E1" i="17"/>
  <c r="D1" i="17"/>
  <c r="C1" i="17"/>
  <c r="B1" i="17"/>
  <c r="A1" i="17"/>
  <c r="E99" i="2"/>
  <c r="D99" i="2"/>
  <c r="C99" i="2"/>
  <c r="B99" i="2"/>
  <c r="E98" i="2"/>
  <c r="D98" i="2"/>
  <c r="C98" i="2"/>
  <c r="B98" i="2"/>
  <c r="E97" i="2"/>
  <c r="D97" i="2"/>
  <c r="C97" i="2"/>
  <c r="B97" i="2"/>
  <c r="E96" i="2"/>
  <c r="D96" i="2"/>
  <c r="C96" i="2"/>
  <c r="B96" i="2"/>
  <c r="E95" i="2"/>
  <c r="D95" i="2"/>
  <c r="C95" i="2"/>
  <c r="B95" i="2"/>
  <c r="E94" i="2"/>
  <c r="D94" i="2"/>
  <c r="C94" i="2"/>
  <c r="B94" i="2"/>
  <c r="E93" i="2"/>
  <c r="D93" i="2"/>
  <c r="C93" i="2"/>
  <c r="B93" i="2"/>
  <c r="E92" i="2"/>
  <c r="D92" i="2"/>
  <c r="C92" i="2"/>
  <c r="B92" i="2"/>
  <c r="E91" i="2"/>
  <c r="D91" i="2"/>
  <c r="C91" i="2"/>
  <c r="B91" i="2"/>
  <c r="E90" i="2"/>
  <c r="D90" i="2"/>
  <c r="C90" i="2"/>
  <c r="B90" i="2"/>
  <c r="E89" i="2"/>
  <c r="D89" i="2"/>
  <c r="C89" i="2"/>
  <c r="B89" i="2"/>
  <c r="E88" i="2"/>
  <c r="D88" i="2"/>
  <c r="C88" i="2"/>
  <c r="B88" i="2"/>
  <c r="E87" i="2"/>
  <c r="D87" i="2"/>
  <c r="C87" i="2"/>
  <c r="B87" i="2"/>
  <c r="E86" i="2"/>
  <c r="D86" i="2"/>
  <c r="C86" i="2"/>
  <c r="B86" i="2"/>
  <c r="E85" i="2"/>
  <c r="D85" i="2"/>
  <c r="C85" i="2"/>
  <c r="B85" i="2"/>
  <c r="E84" i="2"/>
  <c r="D84" i="2"/>
  <c r="C84" i="2"/>
  <c r="B84" i="2"/>
  <c r="E83" i="2"/>
  <c r="D83" i="2"/>
  <c r="C83" i="2"/>
  <c r="B83" i="2"/>
  <c r="E82" i="2"/>
  <c r="D82" i="2"/>
  <c r="C82" i="2"/>
  <c r="B82" i="2"/>
  <c r="E81" i="2"/>
  <c r="D81" i="2"/>
  <c r="C81" i="2"/>
  <c r="B81" i="2"/>
  <c r="E80" i="2"/>
  <c r="D80" i="2"/>
  <c r="C80" i="2"/>
  <c r="B80" i="2"/>
  <c r="E79" i="2"/>
  <c r="D79" i="2"/>
  <c r="C79" i="2"/>
  <c r="B79" i="2"/>
  <c r="E78" i="2"/>
  <c r="D78" i="2"/>
  <c r="C78" i="2"/>
  <c r="B78" i="2"/>
  <c r="E77" i="2"/>
  <c r="D77" i="2"/>
  <c r="C77" i="2"/>
  <c r="B77" i="2"/>
  <c r="E76" i="2"/>
  <c r="D76" i="2"/>
  <c r="C76" i="2"/>
  <c r="B76" i="2"/>
  <c r="E75" i="2"/>
  <c r="D75" i="2"/>
  <c r="C75" i="2"/>
  <c r="B75" i="2"/>
  <c r="E74" i="2"/>
  <c r="D74" i="2"/>
  <c r="C74" i="2"/>
  <c r="B74" i="2"/>
  <c r="E73" i="2"/>
  <c r="D73" i="2"/>
  <c r="C73" i="2"/>
  <c r="B73" i="2"/>
  <c r="E72" i="2"/>
  <c r="D72" i="2"/>
  <c r="C72" i="2"/>
  <c r="B72" i="2"/>
  <c r="E71" i="2"/>
  <c r="D71" i="2"/>
  <c r="C71" i="2"/>
  <c r="B71" i="2"/>
  <c r="E70" i="2"/>
  <c r="D70" i="2"/>
  <c r="C70" i="2"/>
  <c r="B70" i="2"/>
  <c r="E69" i="2"/>
  <c r="D69" i="2"/>
  <c r="C69" i="2"/>
  <c r="B69" i="2"/>
  <c r="E68" i="2"/>
  <c r="D68" i="2"/>
  <c r="C68" i="2"/>
  <c r="B68" i="2"/>
  <c r="E67" i="2"/>
  <c r="D67" i="2"/>
  <c r="C67" i="2"/>
  <c r="B67" i="2"/>
  <c r="E66" i="2"/>
  <c r="D66" i="2"/>
  <c r="C66" i="2"/>
  <c r="B66" i="2"/>
  <c r="E65" i="2"/>
  <c r="D65" i="2"/>
  <c r="C65" i="2"/>
  <c r="B65" i="2"/>
  <c r="E64" i="2"/>
  <c r="D64" i="2"/>
  <c r="C64" i="2"/>
  <c r="B64" i="2"/>
  <c r="E63" i="2"/>
  <c r="D63" i="2"/>
  <c r="C63" i="2"/>
  <c r="B63" i="2"/>
  <c r="E62" i="2"/>
  <c r="D62" i="2"/>
  <c r="C62" i="2"/>
  <c r="B62" i="2"/>
  <c r="E61" i="2"/>
  <c r="D61" i="2"/>
  <c r="C61" i="2"/>
  <c r="B61" i="2"/>
  <c r="E60" i="2"/>
  <c r="D60" i="2"/>
  <c r="C60" i="2"/>
  <c r="B60" i="2"/>
  <c r="E59" i="2"/>
  <c r="D59" i="2"/>
  <c r="C59" i="2"/>
  <c r="B59" i="2"/>
  <c r="E58" i="2"/>
  <c r="D58" i="2"/>
  <c r="C58" i="2"/>
  <c r="B58" i="2"/>
  <c r="E57" i="2"/>
  <c r="D57" i="2"/>
  <c r="C57" i="2"/>
  <c r="B57" i="2"/>
  <c r="E56" i="2"/>
  <c r="D56" i="2"/>
  <c r="C56" i="2"/>
  <c r="B56" i="2"/>
  <c r="E55" i="2"/>
  <c r="D55" i="2"/>
  <c r="C55" i="2"/>
  <c r="B55" i="2"/>
  <c r="E54" i="2"/>
  <c r="D54" i="2"/>
  <c r="C54" i="2"/>
  <c r="B54" i="2"/>
  <c r="E53" i="2"/>
  <c r="D53" i="2"/>
  <c r="C53" i="2"/>
  <c r="B53" i="2"/>
  <c r="E52" i="2"/>
  <c r="D52" i="2"/>
  <c r="C52" i="2"/>
  <c r="B52" i="2"/>
  <c r="E51" i="2"/>
  <c r="D51" i="2"/>
  <c r="C51" i="2"/>
  <c r="B51" i="2"/>
  <c r="E50" i="2"/>
  <c r="D50" i="2"/>
  <c r="C50" i="2"/>
  <c r="B50" i="2"/>
  <c r="E49" i="2"/>
  <c r="D49" i="2"/>
  <c r="C49" i="2"/>
  <c r="B49" i="2"/>
  <c r="E48" i="2"/>
  <c r="D48" i="2"/>
  <c r="C48" i="2"/>
  <c r="B48" i="2"/>
  <c r="E47" i="2"/>
  <c r="D47" i="2"/>
  <c r="C47" i="2"/>
  <c r="B47" i="2"/>
  <c r="E46" i="2"/>
  <c r="D46" i="2"/>
  <c r="C46" i="2"/>
  <c r="B46" i="2"/>
  <c r="E45" i="2"/>
  <c r="D45" i="2"/>
  <c r="C45" i="2"/>
  <c r="B45" i="2"/>
  <c r="E44" i="2"/>
  <c r="D44" i="2"/>
  <c r="C44" i="2"/>
  <c r="B44" i="2"/>
  <c r="E43" i="2"/>
  <c r="D43" i="2"/>
  <c r="C43" i="2"/>
  <c r="B43" i="2"/>
  <c r="E42" i="2"/>
  <c r="D42" i="2"/>
  <c r="C42" i="2"/>
  <c r="B42" i="2"/>
  <c r="E41" i="2"/>
  <c r="D41" i="2"/>
  <c r="C41" i="2"/>
  <c r="B41" i="2"/>
  <c r="E40" i="2"/>
  <c r="D40" i="2"/>
  <c r="C40" i="2"/>
  <c r="B40" i="2"/>
  <c r="E39" i="2"/>
  <c r="D39" i="2"/>
  <c r="C39" i="2"/>
  <c r="B39" i="2"/>
  <c r="E38" i="2"/>
  <c r="D38" i="2"/>
  <c r="C38" i="2"/>
  <c r="B38" i="2"/>
  <c r="E37" i="2"/>
  <c r="D37" i="2"/>
  <c r="C37" i="2"/>
  <c r="B37" i="2"/>
  <c r="E36" i="2"/>
  <c r="D36" i="2"/>
  <c r="C36" i="2"/>
  <c r="B36" i="2"/>
  <c r="E35" i="2"/>
  <c r="D35" i="2"/>
  <c r="C35" i="2"/>
  <c r="B35" i="2"/>
  <c r="E34" i="2"/>
  <c r="D34" i="2"/>
  <c r="C34" i="2"/>
  <c r="B34" i="2"/>
  <c r="E33" i="2"/>
  <c r="D33" i="2"/>
  <c r="C33" i="2"/>
  <c r="B33" i="2"/>
  <c r="E32" i="2"/>
  <c r="D32" i="2"/>
  <c r="C32" i="2"/>
  <c r="B32" i="2"/>
  <c r="E31" i="2"/>
  <c r="D31" i="2"/>
  <c r="C31" i="2"/>
  <c r="B31" i="2"/>
  <c r="E30" i="2"/>
  <c r="D30" i="2"/>
  <c r="C30" i="2"/>
  <c r="B30" i="2"/>
  <c r="E29" i="2"/>
  <c r="D29" i="2"/>
  <c r="C29" i="2"/>
  <c r="B29" i="2"/>
  <c r="E28" i="2"/>
  <c r="D28" i="2"/>
  <c r="C28" i="2"/>
  <c r="B28" i="2"/>
  <c r="E27" i="2"/>
  <c r="D27" i="2"/>
  <c r="C27" i="2"/>
  <c r="B27" i="2"/>
  <c r="E26" i="2"/>
  <c r="D26" i="2"/>
  <c r="C26" i="2"/>
  <c r="B26" i="2"/>
  <c r="E25" i="2"/>
  <c r="D25" i="2"/>
  <c r="C25" i="2"/>
  <c r="B25" i="2"/>
  <c r="E24" i="2"/>
  <c r="D24" i="2"/>
  <c r="C24" i="2"/>
  <c r="B24" i="2"/>
  <c r="E23" i="2"/>
  <c r="D23" i="2"/>
  <c r="C23" i="2"/>
  <c r="B23" i="2"/>
  <c r="E22" i="2"/>
  <c r="D22" i="2"/>
  <c r="C22" i="2"/>
  <c r="B22" i="2"/>
  <c r="E21" i="2"/>
  <c r="D21" i="2"/>
  <c r="C21" i="2"/>
  <c r="B21" i="2"/>
  <c r="E20" i="2"/>
  <c r="D20" i="2"/>
  <c r="C20" i="2"/>
  <c r="B20" i="2"/>
  <c r="E19" i="2"/>
  <c r="D19" i="2"/>
  <c r="C19" i="2"/>
  <c r="B19" i="2"/>
  <c r="E18" i="2"/>
  <c r="D18" i="2"/>
  <c r="C18" i="2"/>
  <c r="B18" i="2"/>
  <c r="E17" i="2"/>
  <c r="D17" i="2"/>
  <c r="C17" i="2"/>
  <c r="B17" i="2"/>
  <c r="E16" i="2"/>
  <c r="D16" i="2"/>
  <c r="C16" i="2"/>
  <c r="B16" i="2"/>
  <c r="E15" i="2"/>
  <c r="D15" i="2"/>
  <c r="C15" i="2"/>
  <c r="B15" i="2"/>
  <c r="E14" i="2"/>
  <c r="D14" i="2"/>
  <c r="C14" i="2"/>
  <c r="B14" i="2"/>
  <c r="E13" i="2"/>
  <c r="D13" i="2"/>
  <c r="C13" i="2"/>
  <c r="B13" i="2"/>
  <c r="E12" i="2"/>
  <c r="D12" i="2"/>
  <c r="C12" i="2"/>
  <c r="B12" i="2"/>
  <c r="E11" i="2"/>
  <c r="D11" i="2"/>
  <c r="C11" i="2"/>
  <c r="B11" i="2"/>
  <c r="E10" i="2"/>
  <c r="D10" i="2"/>
  <c r="C10" i="2"/>
  <c r="B10" i="2"/>
  <c r="E9" i="2"/>
  <c r="D9" i="2"/>
  <c r="C9" i="2"/>
  <c r="B9" i="2"/>
  <c r="E8" i="2"/>
  <c r="D8" i="2"/>
  <c r="C8" i="2"/>
  <c r="B8" i="2"/>
  <c r="E7" i="2"/>
  <c r="D7" i="2"/>
  <c r="C7" i="2"/>
  <c r="B7" i="2"/>
  <c r="E6" i="2"/>
  <c r="D6" i="2"/>
  <c r="C6" i="2"/>
  <c r="B6" i="2"/>
  <c r="E5" i="2"/>
  <c r="D5" i="2"/>
  <c r="C5" i="2"/>
  <c r="B5" i="2"/>
  <c r="E4" i="2"/>
  <c r="D4" i="2"/>
  <c r="C4" i="2"/>
  <c r="B4" i="2"/>
  <c r="E3" i="2"/>
  <c r="D3" i="2"/>
  <c r="C3" i="2"/>
  <c r="B3" i="2"/>
  <c r="A3" i="2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G40" i="1"/>
  <c r="D40" i="1"/>
  <c r="G39" i="1"/>
  <c r="D39" i="1"/>
  <c r="G38" i="1"/>
  <c r="D38" i="1"/>
  <c r="G37" i="1"/>
  <c r="D37" i="1"/>
  <c r="G36" i="1"/>
  <c r="D36" i="1"/>
  <c r="G35" i="1"/>
  <c r="D35" i="1"/>
  <c r="G34" i="1"/>
  <c r="D34" i="1"/>
  <c r="G33" i="1"/>
  <c r="D33" i="1"/>
  <c r="G32" i="1"/>
  <c r="D32" i="1"/>
  <c r="G31" i="1"/>
  <c r="D31" i="1"/>
  <c r="G30" i="1"/>
  <c r="D30" i="1"/>
  <c r="G29" i="1"/>
  <c r="H29" i="1" s="1"/>
  <c r="D29" i="1"/>
  <c r="G28" i="1"/>
  <c r="H28" i="1" s="1"/>
  <c r="D28" i="1"/>
  <c r="G27" i="1"/>
  <c r="H27" i="1" s="1"/>
  <c r="D27" i="1"/>
  <c r="G26" i="1"/>
  <c r="H26" i="1" s="1"/>
  <c r="D26" i="1"/>
  <c r="G25" i="1"/>
  <c r="H25" i="1" s="1"/>
  <c r="D25" i="1"/>
  <c r="G24" i="1"/>
  <c r="H24" i="1" s="1"/>
  <c r="D24" i="1"/>
  <c r="G23" i="1"/>
  <c r="H23" i="1" s="1"/>
  <c r="D23" i="1"/>
  <c r="G22" i="1"/>
  <c r="H22" i="1" s="1"/>
  <c r="D22" i="1"/>
  <c r="G21" i="1"/>
  <c r="H21" i="1" s="1"/>
  <c r="D21" i="1"/>
  <c r="G20" i="1"/>
  <c r="H20" i="1" s="1"/>
  <c r="D20" i="1"/>
  <c r="G19" i="1"/>
  <c r="H19" i="1" s="1"/>
  <c r="D19" i="1"/>
  <c r="G18" i="1"/>
  <c r="H18" i="1" s="1"/>
  <c r="D18" i="1"/>
  <c r="G17" i="1"/>
  <c r="H17" i="1" s="1"/>
  <c r="D17" i="1"/>
  <c r="G16" i="1"/>
  <c r="H16" i="1" s="1"/>
  <c r="G15" i="1"/>
  <c r="H15" i="1" s="1"/>
  <c r="G14" i="1"/>
  <c r="C14" i="1"/>
  <c r="C13" i="1"/>
  <c r="C12" i="1"/>
  <c r="C11" i="1"/>
  <c r="G10" i="1"/>
  <c r="C10" i="1"/>
  <c r="G9" i="1"/>
  <c r="C9" i="1"/>
  <c r="C6" i="1"/>
  <c r="D4" i="1"/>
  <c r="C3" i="1"/>
  <c r="C2" i="1"/>
  <c r="A10" i="15" l="1"/>
  <c r="AA2" i="9" l="1"/>
  <c r="Z6" i="9"/>
  <c r="Y2" i="9"/>
  <c r="X2" i="9"/>
  <c r="W2" i="9"/>
  <c r="V6" i="9"/>
  <c r="U2" i="9"/>
  <c r="T2" i="9"/>
  <c r="S2" i="9"/>
  <c r="R6" i="9"/>
  <c r="Q2" i="9"/>
  <c r="P2" i="9"/>
  <c r="O2" i="9"/>
  <c r="N6" i="9"/>
  <c r="M2" i="9"/>
  <c r="L2" i="9"/>
  <c r="K2" i="9"/>
  <c r="J6" i="9"/>
  <c r="I2" i="9"/>
  <c r="H2" i="9"/>
  <c r="G2" i="9"/>
  <c r="F6" i="9"/>
  <c r="D75" i="9"/>
  <c r="D59" i="9"/>
  <c r="D43" i="9"/>
  <c r="D27" i="9"/>
  <c r="D99" i="9"/>
  <c r="D95" i="9"/>
  <c r="D91" i="9"/>
  <c r="D87" i="9"/>
  <c r="D83" i="9"/>
  <c r="D79" i="9"/>
  <c r="D71" i="9"/>
  <c r="D67" i="9"/>
  <c r="D63" i="9"/>
  <c r="D55" i="9"/>
  <c r="D51" i="9"/>
  <c r="D47" i="9"/>
  <c r="D39" i="9"/>
  <c r="D35" i="9"/>
  <c r="D31" i="9"/>
  <c r="D26" i="9"/>
  <c r="D22" i="9"/>
  <c r="D18" i="9"/>
  <c r="D17" i="9"/>
  <c r="D14" i="9"/>
  <c r="D13" i="9"/>
  <c r="D10" i="9"/>
  <c r="D9" i="9"/>
  <c r="D8" i="9"/>
  <c r="D23" i="9"/>
  <c r="D19" i="9"/>
  <c r="D15" i="9"/>
  <c r="D11" i="9"/>
  <c r="D7" i="9"/>
  <c r="D5" i="9"/>
  <c r="D4" i="9"/>
  <c r="D3" i="9"/>
  <c r="E6" i="9"/>
  <c r="D70" i="9" l="1"/>
  <c r="D12" i="9"/>
  <c r="D16" i="9"/>
  <c r="D20" i="9"/>
  <c r="D24" i="9"/>
  <c r="D28" i="9"/>
  <c r="D32" i="9"/>
  <c r="D36" i="9"/>
  <c r="D40" i="9"/>
  <c r="D44" i="9"/>
  <c r="D48" i="9"/>
  <c r="D52" i="9"/>
  <c r="D56" i="9"/>
  <c r="D60" i="9"/>
  <c r="D64" i="9"/>
  <c r="D68" i="9"/>
  <c r="D72" i="9"/>
  <c r="D76" i="9"/>
  <c r="D80" i="9"/>
  <c r="D84" i="9"/>
  <c r="D88" i="9"/>
  <c r="D92" i="9"/>
  <c r="D96" i="9"/>
  <c r="D21" i="9"/>
  <c r="D25" i="9"/>
  <c r="D29" i="9"/>
  <c r="D33" i="9"/>
  <c r="D37" i="9"/>
  <c r="D41" i="9"/>
  <c r="D45" i="9"/>
  <c r="D49" i="9"/>
  <c r="D53" i="9"/>
  <c r="D57" i="9"/>
  <c r="D61" i="9"/>
  <c r="D65" i="9"/>
  <c r="D69" i="9"/>
  <c r="D73" i="9"/>
  <c r="D77" i="9"/>
  <c r="D81" i="9"/>
  <c r="D85" i="9"/>
  <c r="D89" i="9"/>
  <c r="D93" i="9"/>
  <c r="D97" i="9"/>
  <c r="D30" i="9"/>
  <c r="D34" i="9"/>
  <c r="D38" i="9"/>
  <c r="D42" i="9"/>
  <c r="D46" i="9"/>
  <c r="D50" i="9"/>
  <c r="D54" i="9"/>
  <c r="D58" i="9"/>
  <c r="D62" i="9"/>
  <c r="D66" i="9"/>
  <c r="D74" i="9"/>
  <c r="D78" i="9"/>
  <c r="D82" i="9"/>
  <c r="D86" i="9"/>
  <c r="D90" i="9"/>
  <c r="D94" i="9"/>
  <c r="D98" i="9"/>
  <c r="F2" i="9"/>
  <c r="J2" i="9"/>
  <c r="N2" i="9"/>
  <c r="R2" i="9"/>
  <c r="V2" i="9"/>
  <c r="Z2" i="9"/>
  <c r="G6" i="9"/>
  <c r="K6" i="9"/>
  <c r="O6" i="9"/>
  <c r="S6" i="9"/>
  <c r="W6" i="9"/>
  <c r="AA6" i="9"/>
  <c r="H6" i="9"/>
  <c r="L6" i="9"/>
  <c r="P6" i="9"/>
  <c r="T6" i="9"/>
  <c r="X6" i="9"/>
  <c r="E2" i="9"/>
  <c r="I6" i="9"/>
  <c r="M6" i="9"/>
  <c r="Q6" i="9"/>
  <c r="U6" i="9"/>
  <c r="Y6" i="9"/>
  <c r="A12" i="9"/>
  <c r="D98" i="15"/>
  <c r="D96" i="15"/>
  <c r="D94" i="15"/>
  <c r="D92" i="15"/>
  <c r="D90" i="15"/>
  <c r="D88" i="15"/>
  <c r="D86" i="15"/>
  <c r="D84" i="15"/>
  <c r="D82" i="15"/>
  <c r="D80" i="15"/>
  <c r="D78" i="15"/>
  <c r="D76" i="15"/>
  <c r="D74" i="15"/>
  <c r="D72" i="15"/>
  <c r="D70" i="15"/>
  <c r="D68" i="15"/>
  <c r="D66" i="15"/>
  <c r="D64" i="15"/>
  <c r="D62" i="15"/>
  <c r="D60" i="15"/>
  <c r="D58" i="15"/>
  <c r="D56" i="15"/>
  <c r="D54" i="15"/>
  <c r="D52" i="15"/>
  <c r="D50" i="15"/>
  <c r="D48" i="15"/>
  <c r="D46" i="15"/>
  <c r="D44" i="15"/>
  <c r="D42" i="15"/>
  <c r="D40" i="15"/>
  <c r="D38" i="15"/>
  <c r="D36" i="15"/>
  <c r="D34" i="15"/>
  <c r="D32" i="15"/>
  <c r="D30" i="15"/>
  <c r="D28" i="15"/>
  <c r="D26" i="15"/>
  <c r="D24" i="15"/>
  <c r="D22" i="15"/>
  <c r="D20" i="15"/>
  <c r="D18" i="15"/>
  <c r="D16" i="15"/>
  <c r="D13" i="15"/>
  <c r="D7" i="15"/>
  <c r="C4" i="1"/>
  <c r="D99" i="15"/>
  <c r="D97" i="15"/>
  <c r="D95" i="15"/>
  <c r="D93" i="15"/>
  <c r="D91" i="15"/>
  <c r="D89" i="15"/>
  <c r="D87" i="15"/>
  <c r="D85" i="15"/>
  <c r="D83" i="15"/>
  <c r="D81" i="15"/>
  <c r="D79" i="15"/>
  <c r="D77" i="15"/>
  <c r="D75" i="15"/>
  <c r="D73" i="15"/>
  <c r="D71" i="15"/>
  <c r="D69" i="15"/>
  <c r="D67" i="15"/>
  <c r="D65" i="15"/>
  <c r="D63" i="15"/>
  <c r="D61" i="15"/>
  <c r="D59" i="15"/>
  <c r="D57" i="15"/>
  <c r="D55" i="15"/>
  <c r="D53" i="15"/>
  <c r="D51" i="15"/>
  <c r="D49" i="15"/>
  <c r="D47" i="15"/>
  <c r="D45" i="15"/>
  <c r="D43" i="15"/>
  <c r="D41" i="15"/>
  <c r="D39" i="15"/>
  <c r="D37" i="15"/>
  <c r="D35" i="15"/>
  <c r="D33" i="15"/>
  <c r="D31" i="15"/>
  <c r="D29" i="15"/>
  <c r="D27" i="15"/>
  <c r="D25" i="15"/>
  <c r="D23" i="15"/>
  <c r="D21" i="15"/>
  <c r="D19" i="15"/>
  <c r="D17" i="15"/>
  <c r="D15" i="15"/>
  <c r="D14" i="15"/>
  <c r="D12" i="15"/>
  <c r="D10" i="15"/>
  <c r="D8" i="15"/>
  <c r="A15" i="9" l="1"/>
  <c r="A2" i="9"/>
  <c r="D9" i="15"/>
  <c r="D11" i="15"/>
  <c r="D3" i="15"/>
  <c r="A18" i="9" l="1"/>
  <c r="A21" i="9"/>
  <c r="H2" i="15"/>
  <c r="G2" i="15"/>
  <c r="F2" i="15"/>
  <c r="E2" i="15"/>
  <c r="A25" i="15"/>
  <c r="A12" i="14" l="1"/>
  <c r="A15" i="14"/>
  <c r="K19" i="17"/>
  <c r="A9" i="7"/>
  <c r="G20" i="2" l="1"/>
  <c r="A8" i="17"/>
  <c r="A6" i="17"/>
  <c r="A11" i="17"/>
  <c r="A14" i="17"/>
  <c r="A6" i="7"/>
  <c r="J99" i="17"/>
  <c r="J98" i="17"/>
  <c r="J97" i="17"/>
  <c r="J96" i="17"/>
  <c r="J95" i="17"/>
  <c r="J94" i="17"/>
  <c r="J93" i="17"/>
  <c r="J92" i="17"/>
  <c r="J91" i="17"/>
  <c r="J90" i="17"/>
  <c r="J89" i="17"/>
  <c r="J88" i="17"/>
  <c r="J87" i="17"/>
  <c r="J86" i="17"/>
  <c r="J85" i="17"/>
  <c r="J84" i="17"/>
  <c r="J83" i="17"/>
  <c r="J82" i="17"/>
  <c r="J81" i="17"/>
  <c r="J80" i="17"/>
  <c r="J79" i="17"/>
  <c r="J78" i="17"/>
  <c r="J77" i="17"/>
  <c r="J76" i="17"/>
  <c r="J75" i="17"/>
  <c r="J74" i="17"/>
  <c r="J73" i="17"/>
  <c r="J72" i="17"/>
  <c r="J71" i="17"/>
  <c r="J70" i="17"/>
  <c r="J69" i="17"/>
  <c r="J68" i="17"/>
  <c r="J67" i="17"/>
  <c r="J66" i="17"/>
  <c r="J65" i="17"/>
  <c r="J64" i="17"/>
  <c r="J63" i="17"/>
  <c r="J62" i="17"/>
  <c r="J61" i="17"/>
  <c r="J60" i="17"/>
  <c r="J59" i="17"/>
  <c r="J58" i="17"/>
  <c r="J57" i="17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9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I3" i="17"/>
  <c r="I99" i="17"/>
  <c r="I98" i="17"/>
  <c r="I97" i="17"/>
  <c r="I96" i="17"/>
  <c r="I95" i="17"/>
  <c r="I94" i="17"/>
  <c r="I93" i="17"/>
  <c r="I92" i="17"/>
  <c r="I91" i="17"/>
  <c r="I90" i="17"/>
  <c r="I89" i="17"/>
  <c r="I88" i="17"/>
  <c r="I87" i="17"/>
  <c r="I86" i="17"/>
  <c r="I85" i="17"/>
  <c r="I84" i="17"/>
  <c r="I83" i="17"/>
  <c r="I82" i="17"/>
  <c r="I81" i="17"/>
  <c r="I80" i="17"/>
  <c r="I79" i="17"/>
  <c r="I78" i="17"/>
  <c r="I77" i="17"/>
  <c r="I76" i="17"/>
  <c r="I75" i="17"/>
  <c r="I74" i="17"/>
  <c r="I73" i="17"/>
  <c r="I72" i="17"/>
  <c r="I71" i="17"/>
  <c r="I70" i="17"/>
  <c r="I69" i="17"/>
  <c r="I68" i="17"/>
  <c r="I67" i="17"/>
  <c r="I66" i="17"/>
  <c r="I65" i="17"/>
  <c r="I64" i="17"/>
  <c r="I63" i="17"/>
  <c r="I62" i="17"/>
  <c r="I61" i="17"/>
  <c r="I60" i="17"/>
  <c r="I59" i="17"/>
  <c r="I58" i="17"/>
  <c r="I57" i="17"/>
  <c r="I56" i="17"/>
  <c r="I55" i="17"/>
  <c r="I54" i="17"/>
  <c r="I53" i="17"/>
  <c r="I52" i="17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13" i="17"/>
  <c r="I12" i="17"/>
  <c r="I11" i="17"/>
  <c r="I10" i="17"/>
  <c r="I9" i="17"/>
  <c r="I8" i="17"/>
  <c r="I7" i="17"/>
  <c r="I5" i="17"/>
  <c r="I4" i="17"/>
  <c r="M1" i="17"/>
  <c r="L1" i="17"/>
  <c r="K13" i="17" l="1"/>
  <c r="A7" i="2"/>
  <c r="G17" i="2" l="1"/>
  <c r="G14" i="2"/>
  <c r="G23" i="2"/>
  <c r="K25" i="17"/>
  <c r="K16" i="17"/>
  <c r="L29" i="17"/>
  <c r="K29" i="17"/>
  <c r="L37" i="17"/>
  <c r="K37" i="17"/>
  <c r="L41" i="17"/>
  <c r="K41" i="17"/>
  <c r="L49" i="17"/>
  <c r="K49" i="17"/>
  <c r="L53" i="17"/>
  <c r="K53" i="17"/>
  <c r="L57" i="17"/>
  <c r="K57" i="17"/>
  <c r="L65" i="17"/>
  <c r="K65" i="17"/>
  <c r="L69" i="17"/>
  <c r="K69" i="17"/>
  <c r="L73" i="17"/>
  <c r="K73" i="17"/>
  <c r="L77" i="17"/>
  <c r="K77" i="17"/>
  <c r="L81" i="17"/>
  <c r="K81" i="17"/>
  <c r="L89" i="17"/>
  <c r="K89" i="17"/>
  <c r="L93" i="17"/>
  <c r="K93" i="17"/>
  <c r="M10" i="17"/>
  <c r="K10" i="17"/>
  <c r="M22" i="17"/>
  <c r="K22" i="17"/>
  <c r="M34" i="17"/>
  <c r="K34" i="17"/>
  <c r="M38" i="17"/>
  <c r="K38" i="17"/>
  <c r="M42" i="17"/>
  <c r="K42" i="17"/>
  <c r="M50" i="17"/>
  <c r="K50" i="17"/>
  <c r="M54" i="17"/>
  <c r="K54" i="17"/>
  <c r="M62" i="17"/>
  <c r="K62" i="17"/>
  <c r="M66" i="17"/>
  <c r="K66" i="17"/>
  <c r="M70" i="17"/>
  <c r="K70" i="17"/>
  <c r="M74" i="17"/>
  <c r="K74" i="17"/>
  <c r="M78" i="17"/>
  <c r="K78" i="17"/>
  <c r="M82" i="17"/>
  <c r="K82" i="17"/>
  <c r="M86" i="17"/>
  <c r="K86" i="17"/>
  <c r="M90" i="17"/>
  <c r="K90" i="17"/>
  <c r="M98" i="17"/>
  <c r="K98" i="17"/>
  <c r="K7" i="17"/>
  <c r="M31" i="17"/>
  <c r="K31" i="17"/>
  <c r="M35" i="17"/>
  <c r="K35" i="17"/>
  <c r="M39" i="17"/>
  <c r="K39" i="17"/>
  <c r="M43" i="17"/>
  <c r="K43" i="17"/>
  <c r="M47" i="17"/>
  <c r="K47" i="17"/>
  <c r="M51" i="17"/>
  <c r="K51" i="17"/>
  <c r="M55" i="17"/>
  <c r="K55" i="17"/>
  <c r="M59" i="17"/>
  <c r="K59" i="17"/>
  <c r="M63" i="17"/>
  <c r="K63" i="17"/>
  <c r="M67" i="17"/>
  <c r="K67" i="17"/>
  <c r="M71" i="17"/>
  <c r="K71" i="17"/>
  <c r="M75" i="17"/>
  <c r="K75" i="17"/>
  <c r="M79" i="17"/>
  <c r="K79" i="17"/>
  <c r="M83" i="17"/>
  <c r="K83" i="17"/>
  <c r="M87" i="17"/>
  <c r="K87" i="17"/>
  <c r="M91" i="17"/>
  <c r="K91" i="17"/>
  <c r="M95" i="17"/>
  <c r="K95" i="17"/>
  <c r="M99" i="17"/>
  <c r="K99" i="17"/>
  <c r="L33" i="17"/>
  <c r="K33" i="17"/>
  <c r="L45" i="17"/>
  <c r="K45" i="17"/>
  <c r="L61" i="17"/>
  <c r="K61" i="17"/>
  <c r="L85" i="17"/>
  <c r="K85" i="17"/>
  <c r="L97" i="17"/>
  <c r="K97" i="17"/>
  <c r="M6" i="17"/>
  <c r="K6" i="17"/>
  <c r="M30" i="17"/>
  <c r="K30" i="17"/>
  <c r="M46" i="17"/>
  <c r="K46" i="17"/>
  <c r="M58" i="17"/>
  <c r="K58" i="17"/>
  <c r="M94" i="17"/>
  <c r="K94" i="17"/>
  <c r="L28" i="17"/>
  <c r="K28" i="17"/>
  <c r="L32" i="17"/>
  <c r="K32" i="17"/>
  <c r="L36" i="17"/>
  <c r="K36" i="17"/>
  <c r="L40" i="17"/>
  <c r="K40" i="17"/>
  <c r="L44" i="17"/>
  <c r="K44" i="17"/>
  <c r="L48" i="17"/>
  <c r="K48" i="17"/>
  <c r="L52" i="17"/>
  <c r="K52" i="17"/>
  <c r="L56" i="17"/>
  <c r="K56" i="17"/>
  <c r="L60" i="17"/>
  <c r="K60" i="17"/>
  <c r="L64" i="17"/>
  <c r="K64" i="17"/>
  <c r="L68" i="17"/>
  <c r="K68" i="17"/>
  <c r="L72" i="17"/>
  <c r="K72" i="17"/>
  <c r="L76" i="17"/>
  <c r="K76" i="17"/>
  <c r="L80" i="17"/>
  <c r="K80" i="17"/>
  <c r="L84" i="17"/>
  <c r="K84" i="17"/>
  <c r="L88" i="17"/>
  <c r="K88" i="17"/>
  <c r="L92" i="17"/>
  <c r="K92" i="17"/>
  <c r="L96" i="17"/>
  <c r="K96" i="17"/>
  <c r="L30" i="17"/>
  <c r="L38" i="17"/>
  <c r="L46" i="17"/>
  <c r="L54" i="17"/>
  <c r="L62" i="17"/>
  <c r="L70" i="17"/>
  <c r="L78" i="17"/>
  <c r="L86" i="17"/>
  <c r="L94" i="17"/>
  <c r="L31" i="17"/>
  <c r="L39" i="17"/>
  <c r="L47" i="17"/>
  <c r="L55" i="17"/>
  <c r="L63" i="17"/>
  <c r="L71" i="17"/>
  <c r="L79" i="17"/>
  <c r="L87" i="17"/>
  <c r="L95" i="17"/>
  <c r="M7" i="17"/>
  <c r="M19" i="17"/>
  <c r="L34" i="17"/>
  <c r="L42" i="17"/>
  <c r="L50" i="17"/>
  <c r="L58" i="17"/>
  <c r="L66" i="17"/>
  <c r="L74" i="17"/>
  <c r="L82" i="17"/>
  <c r="L90" i="17"/>
  <c r="L98" i="17"/>
  <c r="M16" i="17"/>
  <c r="M13" i="17"/>
  <c r="L25" i="17"/>
  <c r="L35" i="17"/>
  <c r="L43" i="17"/>
  <c r="L51" i="17"/>
  <c r="L59" i="17"/>
  <c r="L67" i="17"/>
  <c r="L75" i="17"/>
  <c r="L83" i="17"/>
  <c r="L91" i="17"/>
  <c r="L99" i="17"/>
  <c r="L16" i="17"/>
  <c r="M28" i="17"/>
  <c r="M32" i="17"/>
  <c r="M36" i="17"/>
  <c r="M40" i="17"/>
  <c r="M44" i="17"/>
  <c r="M48" i="17"/>
  <c r="M52" i="17"/>
  <c r="M56" i="17"/>
  <c r="M60" i="17"/>
  <c r="M64" i="17"/>
  <c r="M68" i="17"/>
  <c r="M72" i="17"/>
  <c r="M76" i="17"/>
  <c r="M80" i="17"/>
  <c r="M84" i="17"/>
  <c r="M88" i="17"/>
  <c r="M92" i="17"/>
  <c r="M96" i="17"/>
  <c r="L13" i="17"/>
  <c r="M25" i="17"/>
  <c r="M29" i="17"/>
  <c r="M33" i="17"/>
  <c r="M37" i="17"/>
  <c r="M41" i="17"/>
  <c r="M45" i="17"/>
  <c r="M49" i="17"/>
  <c r="M53" i="17"/>
  <c r="M57" i="17"/>
  <c r="M61" i="17"/>
  <c r="M65" i="17"/>
  <c r="M69" i="17"/>
  <c r="M73" i="17"/>
  <c r="M77" i="17"/>
  <c r="M81" i="17"/>
  <c r="M85" i="17"/>
  <c r="M89" i="17"/>
  <c r="M93" i="17"/>
  <c r="M97" i="17"/>
  <c r="L6" i="17"/>
  <c r="L10" i="17"/>
  <c r="L22" i="17"/>
  <c r="L7" i="17"/>
  <c r="L19" i="17"/>
  <c r="L8" i="17" l="1"/>
  <c r="M3" i="17"/>
  <c r="L3" i="17"/>
  <c r="K3" i="17"/>
  <c r="K8" i="17"/>
  <c r="M8" i="17"/>
  <c r="L26" i="17" l="1"/>
  <c r="M26" i="17"/>
  <c r="K26" i="17"/>
  <c r="L23" i="17"/>
  <c r="K23" i="17"/>
  <c r="M23" i="17"/>
  <c r="K20" i="17"/>
  <c r="L20" i="17"/>
  <c r="M20" i="17"/>
  <c r="K17" i="17"/>
  <c r="M17" i="17"/>
  <c r="L17" i="17"/>
  <c r="M14" i="17"/>
  <c r="L14" i="17"/>
  <c r="K14" i="17"/>
  <c r="M11" i="17"/>
  <c r="L11" i="17"/>
  <c r="K11" i="17"/>
  <c r="K4" i="17"/>
  <c r="L4" i="17"/>
  <c r="M4" i="17"/>
  <c r="L27" i="17" l="1"/>
  <c r="K27" i="17"/>
  <c r="M27" i="17"/>
  <c r="K24" i="17"/>
  <c r="M24" i="17"/>
  <c r="L24" i="17"/>
  <c r="K21" i="17"/>
  <c r="M21" i="17"/>
  <c r="L21" i="17"/>
  <c r="M18" i="17"/>
  <c r="K18" i="17"/>
  <c r="L18" i="17"/>
  <c r="L15" i="17"/>
  <c r="M15" i="17"/>
  <c r="K15" i="17"/>
  <c r="K12" i="17"/>
  <c r="M12" i="17"/>
  <c r="L12" i="17"/>
  <c r="K9" i="17"/>
  <c r="L9" i="17"/>
  <c r="M9" i="17"/>
  <c r="K5" i="17"/>
  <c r="M5" i="17"/>
  <c r="L5" i="17"/>
  <c r="A21" i="15"/>
  <c r="A18" i="15"/>
  <c r="D6" i="15" l="1"/>
  <c r="AA6" i="15"/>
  <c r="Z6" i="15"/>
  <c r="Y6" i="15"/>
  <c r="X6" i="15"/>
  <c r="W6" i="15"/>
  <c r="V6" i="15"/>
  <c r="U6" i="15"/>
  <c r="T6" i="15"/>
  <c r="R6" i="15"/>
  <c r="Q6" i="15"/>
  <c r="P6" i="15"/>
  <c r="O6" i="15"/>
  <c r="N6" i="15"/>
  <c r="M6" i="15"/>
  <c r="L6" i="15"/>
  <c r="K6" i="15"/>
  <c r="J6" i="15"/>
  <c r="I6" i="15"/>
  <c r="S6" i="15"/>
  <c r="H6" i="15"/>
  <c r="G6" i="15" l="1"/>
  <c r="F6" i="15"/>
  <c r="E6" i="15"/>
  <c r="D5" i="15"/>
  <c r="D4" i="15"/>
  <c r="M28" i="2" l="1"/>
  <c r="H27" i="2"/>
  <c r="M27" i="2" s="1"/>
  <c r="H26" i="2"/>
  <c r="M26" i="2" s="1"/>
  <c r="H25" i="2"/>
  <c r="M25" i="2" s="1"/>
  <c r="H24" i="2"/>
  <c r="M24" i="2" s="1"/>
  <c r="H23" i="2"/>
  <c r="M23" i="2" s="1"/>
  <c r="H22" i="2"/>
  <c r="M22" i="2" s="1"/>
  <c r="H21" i="2"/>
  <c r="M21" i="2" s="1"/>
  <c r="H20" i="2"/>
  <c r="M20" i="2" s="1"/>
  <c r="H19" i="2"/>
  <c r="M19" i="2" s="1"/>
  <c r="H18" i="2"/>
  <c r="M18" i="2" s="1"/>
  <c r="H17" i="2"/>
  <c r="M17" i="2" s="1"/>
  <c r="H16" i="2"/>
  <c r="M16" i="2" s="1"/>
  <c r="H15" i="2"/>
  <c r="M15" i="2" s="1"/>
  <c r="H14" i="2"/>
  <c r="M14" i="2" s="1"/>
  <c r="H13" i="2"/>
  <c r="M13" i="2" s="1"/>
  <c r="H12" i="2"/>
  <c r="M12" i="2" s="1"/>
  <c r="H11" i="2"/>
  <c r="M11" i="2" s="1"/>
  <c r="H10" i="2"/>
  <c r="M10" i="2" s="1"/>
  <c r="H9" i="2"/>
  <c r="M9" i="2" s="1"/>
  <c r="H8" i="2"/>
  <c r="K99" i="2"/>
  <c r="O99" i="2" s="1"/>
  <c r="J99" i="2"/>
  <c r="I99" i="2"/>
  <c r="N99" i="2" s="1"/>
  <c r="H99" i="2"/>
  <c r="M99" i="2" s="1"/>
  <c r="K98" i="2"/>
  <c r="O98" i="2" s="1"/>
  <c r="J98" i="2"/>
  <c r="I98" i="2"/>
  <c r="N98" i="2" s="1"/>
  <c r="H98" i="2"/>
  <c r="M98" i="2" s="1"/>
  <c r="K97" i="2"/>
  <c r="O97" i="2" s="1"/>
  <c r="J97" i="2"/>
  <c r="I97" i="2"/>
  <c r="N97" i="2" s="1"/>
  <c r="H97" i="2"/>
  <c r="M97" i="2" s="1"/>
  <c r="K96" i="2"/>
  <c r="O96" i="2" s="1"/>
  <c r="J96" i="2"/>
  <c r="I96" i="2"/>
  <c r="N96" i="2" s="1"/>
  <c r="H96" i="2"/>
  <c r="M96" i="2" s="1"/>
  <c r="K95" i="2"/>
  <c r="O95" i="2" s="1"/>
  <c r="J95" i="2"/>
  <c r="I95" i="2"/>
  <c r="N95" i="2" s="1"/>
  <c r="H95" i="2"/>
  <c r="M95" i="2" s="1"/>
  <c r="K94" i="2"/>
  <c r="O94" i="2" s="1"/>
  <c r="J94" i="2"/>
  <c r="I94" i="2"/>
  <c r="N94" i="2" s="1"/>
  <c r="H94" i="2"/>
  <c r="M94" i="2" s="1"/>
  <c r="K93" i="2"/>
  <c r="O93" i="2" s="1"/>
  <c r="J93" i="2"/>
  <c r="I93" i="2"/>
  <c r="N93" i="2" s="1"/>
  <c r="H93" i="2"/>
  <c r="M93" i="2" s="1"/>
  <c r="K92" i="2"/>
  <c r="O92" i="2" s="1"/>
  <c r="J92" i="2"/>
  <c r="I92" i="2"/>
  <c r="N92" i="2" s="1"/>
  <c r="H92" i="2"/>
  <c r="M92" i="2" s="1"/>
  <c r="K91" i="2"/>
  <c r="O91" i="2" s="1"/>
  <c r="J91" i="2"/>
  <c r="I91" i="2"/>
  <c r="N91" i="2" s="1"/>
  <c r="H91" i="2"/>
  <c r="M91" i="2" s="1"/>
  <c r="K90" i="2"/>
  <c r="O90" i="2" s="1"/>
  <c r="J90" i="2"/>
  <c r="I90" i="2"/>
  <c r="N90" i="2" s="1"/>
  <c r="H90" i="2"/>
  <c r="M90" i="2" s="1"/>
  <c r="K89" i="2"/>
  <c r="O89" i="2" s="1"/>
  <c r="J89" i="2"/>
  <c r="I89" i="2"/>
  <c r="N89" i="2" s="1"/>
  <c r="H89" i="2"/>
  <c r="M89" i="2" s="1"/>
  <c r="K88" i="2"/>
  <c r="O88" i="2" s="1"/>
  <c r="J88" i="2"/>
  <c r="I88" i="2"/>
  <c r="N88" i="2" s="1"/>
  <c r="H88" i="2"/>
  <c r="M88" i="2" s="1"/>
  <c r="K87" i="2"/>
  <c r="O87" i="2" s="1"/>
  <c r="J87" i="2"/>
  <c r="I87" i="2"/>
  <c r="N87" i="2" s="1"/>
  <c r="H87" i="2"/>
  <c r="M87" i="2" s="1"/>
  <c r="K86" i="2"/>
  <c r="O86" i="2" s="1"/>
  <c r="J86" i="2"/>
  <c r="I86" i="2"/>
  <c r="N86" i="2" s="1"/>
  <c r="H86" i="2"/>
  <c r="M86" i="2" s="1"/>
  <c r="K85" i="2"/>
  <c r="O85" i="2" s="1"/>
  <c r="J85" i="2"/>
  <c r="I85" i="2"/>
  <c r="N85" i="2" s="1"/>
  <c r="H85" i="2"/>
  <c r="M85" i="2" s="1"/>
  <c r="K84" i="2"/>
  <c r="O84" i="2" s="1"/>
  <c r="J84" i="2"/>
  <c r="I84" i="2"/>
  <c r="N84" i="2" s="1"/>
  <c r="H84" i="2"/>
  <c r="M84" i="2" s="1"/>
  <c r="K83" i="2"/>
  <c r="O83" i="2" s="1"/>
  <c r="J83" i="2"/>
  <c r="I83" i="2"/>
  <c r="N83" i="2" s="1"/>
  <c r="H83" i="2"/>
  <c r="M83" i="2" s="1"/>
  <c r="K82" i="2"/>
  <c r="O82" i="2" s="1"/>
  <c r="J82" i="2"/>
  <c r="I82" i="2"/>
  <c r="N82" i="2" s="1"/>
  <c r="H82" i="2"/>
  <c r="M82" i="2" s="1"/>
  <c r="K81" i="2"/>
  <c r="O81" i="2" s="1"/>
  <c r="J81" i="2"/>
  <c r="I81" i="2"/>
  <c r="N81" i="2" s="1"/>
  <c r="H81" i="2"/>
  <c r="M81" i="2" s="1"/>
  <c r="K80" i="2"/>
  <c r="O80" i="2" s="1"/>
  <c r="J80" i="2"/>
  <c r="I80" i="2"/>
  <c r="N80" i="2" s="1"/>
  <c r="H80" i="2"/>
  <c r="M80" i="2" s="1"/>
  <c r="K79" i="2"/>
  <c r="O79" i="2" s="1"/>
  <c r="J79" i="2"/>
  <c r="I79" i="2"/>
  <c r="N79" i="2" s="1"/>
  <c r="H79" i="2"/>
  <c r="M79" i="2" s="1"/>
  <c r="K78" i="2"/>
  <c r="O78" i="2" s="1"/>
  <c r="J78" i="2"/>
  <c r="I78" i="2"/>
  <c r="N78" i="2" s="1"/>
  <c r="H78" i="2"/>
  <c r="M78" i="2" s="1"/>
  <c r="K77" i="2"/>
  <c r="O77" i="2" s="1"/>
  <c r="J77" i="2"/>
  <c r="I77" i="2"/>
  <c r="N77" i="2" s="1"/>
  <c r="H77" i="2"/>
  <c r="M77" i="2" s="1"/>
  <c r="K76" i="2"/>
  <c r="O76" i="2" s="1"/>
  <c r="J76" i="2"/>
  <c r="I76" i="2"/>
  <c r="N76" i="2" s="1"/>
  <c r="H76" i="2"/>
  <c r="M76" i="2" s="1"/>
  <c r="K75" i="2"/>
  <c r="O75" i="2" s="1"/>
  <c r="J75" i="2"/>
  <c r="I75" i="2"/>
  <c r="N75" i="2" s="1"/>
  <c r="H75" i="2"/>
  <c r="M75" i="2" s="1"/>
  <c r="K74" i="2"/>
  <c r="O74" i="2" s="1"/>
  <c r="J74" i="2"/>
  <c r="I74" i="2"/>
  <c r="N74" i="2" s="1"/>
  <c r="H74" i="2"/>
  <c r="M74" i="2" s="1"/>
  <c r="K73" i="2"/>
  <c r="O73" i="2" s="1"/>
  <c r="J73" i="2"/>
  <c r="I73" i="2"/>
  <c r="N73" i="2" s="1"/>
  <c r="H73" i="2"/>
  <c r="M73" i="2" s="1"/>
  <c r="K72" i="2"/>
  <c r="O72" i="2" s="1"/>
  <c r="J72" i="2"/>
  <c r="I72" i="2"/>
  <c r="N72" i="2" s="1"/>
  <c r="H72" i="2"/>
  <c r="M72" i="2" s="1"/>
  <c r="K71" i="2"/>
  <c r="O71" i="2" s="1"/>
  <c r="J71" i="2"/>
  <c r="I71" i="2"/>
  <c r="N71" i="2" s="1"/>
  <c r="H71" i="2"/>
  <c r="M71" i="2" s="1"/>
  <c r="K70" i="2"/>
  <c r="O70" i="2" s="1"/>
  <c r="J70" i="2"/>
  <c r="I70" i="2"/>
  <c r="N70" i="2" s="1"/>
  <c r="H70" i="2"/>
  <c r="M70" i="2" s="1"/>
  <c r="K69" i="2"/>
  <c r="O69" i="2" s="1"/>
  <c r="J69" i="2"/>
  <c r="I69" i="2"/>
  <c r="N69" i="2" s="1"/>
  <c r="H69" i="2"/>
  <c r="M69" i="2" s="1"/>
  <c r="K68" i="2"/>
  <c r="O68" i="2" s="1"/>
  <c r="J68" i="2"/>
  <c r="I68" i="2"/>
  <c r="N68" i="2" s="1"/>
  <c r="H68" i="2"/>
  <c r="M68" i="2" s="1"/>
  <c r="K67" i="2"/>
  <c r="O67" i="2" s="1"/>
  <c r="J67" i="2"/>
  <c r="I67" i="2"/>
  <c r="N67" i="2" s="1"/>
  <c r="H67" i="2"/>
  <c r="M67" i="2" s="1"/>
  <c r="K66" i="2"/>
  <c r="O66" i="2" s="1"/>
  <c r="J66" i="2"/>
  <c r="I66" i="2"/>
  <c r="N66" i="2" s="1"/>
  <c r="H66" i="2"/>
  <c r="M66" i="2" s="1"/>
  <c r="K65" i="2"/>
  <c r="O65" i="2" s="1"/>
  <c r="J65" i="2"/>
  <c r="I65" i="2"/>
  <c r="N65" i="2" s="1"/>
  <c r="H65" i="2"/>
  <c r="M65" i="2" s="1"/>
  <c r="K64" i="2"/>
  <c r="O64" i="2" s="1"/>
  <c r="J64" i="2"/>
  <c r="I64" i="2"/>
  <c r="N64" i="2" s="1"/>
  <c r="H64" i="2"/>
  <c r="M64" i="2" s="1"/>
  <c r="K63" i="2"/>
  <c r="O63" i="2" s="1"/>
  <c r="J63" i="2"/>
  <c r="I63" i="2"/>
  <c r="N63" i="2" s="1"/>
  <c r="H63" i="2"/>
  <c r="M63" i="2" s="1"/>
  <c r="K62" i="2"/>
  <c r="O62" i="2" s="1"/>
  <c r="J62" i="2"/>
  <c r="I62" i="2"/>
  <c r="N62" i="2" s="1"/>
  <c r="H62" i="2"/>
  <c r="M62" i="2" s="1"/>
  <c r="K61" i="2"/>
  <c r="O61" i="2" s="1"/>
  <c r="J61" i="2"/>
  <c r="I61" i="2"/>
  <c r="N61" i="2" s="1"/>
  <c r="H61" i="2"/>
  <c r="M61" i="2" s="1"/>
  <c r="K60" i="2"/>
  <c r="O60" i="2" s="1"/>
  <c r="J60" i="2"/>
  <c r="I60" i="2"/>
  <c r="N60" i="2" s="1"/>
  <c r="H60" i="2"/>
  <c r="M60" i="2" s="1"/>
  <c r="K59" i="2"/>
  <c r="O59" i="2" s="1"/>
  <c r="J59" i="2"/>
  <c r="I59" i="2"/>
  <c r="N59" i="2" s="1"/>
  <c r="H59" i="2"/>
  <c r="M59" i="2" s="1"/>
  <c r="K58" i="2"/>
  <c r="O58" i="2" s="1"/>
  <c r="J58" i="2"/>
  <c r="I58" i="2"/>
  <c r="N58" i="2" s="1"/>
  <c r="H58" i="2"/>
  <c r="M58" i="2" s="1"/>
  <c r="K57" i="2"/>
  <c r="O57" i="2" s="1"/>
  <c r="J57" i="2"/>
  <c r="I57" i="2"/>
  <c r="N57" i="2" s="1"/>
  <c r="H57" i="2"/>
  <c r="M57" i="2" s="1"/>
  <c r="K56" i="2"/>
  <c r="O56" i="2" s="1"/>
  <c r="J56" i="2"/>
  <c r="I56" i="2"/>
  <c r="N56" i="2" s="1"/>
  <c r="H56" i="2"/>
  <c r="M56" i="2" s="1"/>
  <c r="K55" i="2"/>
  <c r="O55" i="2" s="1"/>
  <c r="J55" i="2"/>
  <c r="I55" i="2"/>
  <c r="N55" i="2" s="1"/>
  <c r="H55" i="2"/>
  <c r="M55" i="2" s="1"/>
  <c r="K54" i="2"/>
  <c r="O54" i="2" s="1"/>
  <c r="J54" i="2"/>
  <c r="I54" i="2"/>
  <c r="N54" i="2" s="1"/>
  <c r="H54" i="2"/>
  <c r="M54" i="2" s="1"/>
  <c r="K53" i="2"/>
  <c r="O53" i="2" s="1"/>
  <c r="J53" i="2"/>
  <c r="I53" i="2"/>
  <c r="N53" i="2" s="1"/>
  <c r="H53" i="2"/>
  <c r="M53" i="2" s="1"/>
  <c r="K52" i="2"/>
  <c r="O52" i="2" s="1"/>
  <c r="J52" i="2"/>
  <c r="I52" i="2"/>
  <c r="N52" i="2" s="1"/>
  <c r="H52" i="2"/>
  <c r="M52" i="2" s="1"/>
  <c r="K51" i="2"/>
  <c r="O51" i="2" s="1"/>
  <c r="J51" i="2"/>
  <c r="I51" i="2"/>
  <c r="N51" i="2" s="1"/>
  <c r="H51" i="2"/>
  <c r="M51" i="2" s="1"/>
  <c r="K50" i="2"/>
  <c r="O50" i="2" s="1"/>
  <c r="J50" i="2"/>
  <c r="I50" i="2"/>
  <c r="N50" i="2" s="1"/>
  <c r="H50" i="2"/>
  <c r="M50" i="2" s="1"/>
  <c r="K49" i="2"/>
  <c r="O49" i="2" s="1"/>
  <c r="J49" i="2"/>
  <c r="I49" i="2"/>
  <c r="N49" i="2" s="1"/>
  <c r="H49" i="2"/>
  <c r="M49" i="2" s="1"/>
  <c r="K48" i="2"/>
  <c r="O48" i="2" s="1"/>
  <c r="J48" i="2"/>
  <c r="I48" i="2"/>
  <c r="N48" i="2" s="1"/>
  <c r="H48" i="2"/>
  <c r="M48" i="2" s="1"/>
  <c r="K47" i="2"/>
  <c r="O47" i="2" s="1"/>
  <c r="J47" i="2"/>
  <c r="I47" i="2"/>
  <c r="N47" i="2" s="1"/>
  <c r="H47" i="2"/>
  <c r="M47" i="2" s="1"/>
  <c r="K46" i="2"/>
  <c r="O46" i="2" s="1"/>
  <c r="J46" i="2"/>
  <c r="I46" i="2"/>
  <c r="N46" i="2" s="1"/>
  <c r="H46" i="2"/>
  <c r="M46" i="2" s="1"/>
  <c r="K45" i="2"/>
  <c r="O45" i="2" s="1"/>
  <c r="J45" i="2"/>
  <c r="I45" i="2"/>
  <c r="N45" i="2" s="1"/>
  <c r="H45" i="2"/>
  <c r="M45" i="2" s="1"/>
  <c r="K44" i="2"/>
  <c r="O44" i="2" s="1"/>
  <c r="J44" i="2"/>
  <c r="I44" i="2"/>
  <c r="N44" i="2" s="1"/>
  <c r="H44" i="2"/>
  <c r="M44" i="2" s="1"/>
  <c r="K43" i="2"/>
  <c r="O43" i="2" s="1"/>
  <c r="J43" i="2"/>
  <c r="I43" i="2"/>
  <c r="N43" i="2" s="1"/>
  <c r="H43" i="2"/>
  <c r="M43" i="2" s="1"/>
  <c r="K42" i="2"/>
  <c r="O42" i="2" s="1"/>
  <c r="J42" i="2"/>
  <c r="I42" i="2"/>
  <c r="N42" i="2" s="1"/>
  <c r="H42" i="2"/>
  <c r="M42" i="2" s="1"/>
  <c r="K41" i="2"/>
  <c r="O41" i="2" s="1"/>
  <c r="J41" i="2"/>
  <c r="I41" i="2"/>
  <c r="N41" i="2" s="1"/>
  <c r="H41" i="2"/>
  <c r="M41" i="2" s="1"/>
  <c r="K40" i="2"/>
  <c r="O40" i="2" s="1"/>
  <c r="J40" i="2"/>
  <c r="I40" i="2"/>
  <c r="N40" i="2" s="1"/>
  <c r="H40" i="2"/>
  <c r="M40" i="2" s="1"/>
  <c r="K39" i="2"/>
  <c r="O39" i="2" s="1"/>
  <c r="J39" i="2"/>
  <c r="I39" i="2"/>
  <c r="N39" i="2" s="1"/>
  <c r="H39" i="2"/>
  <c r="M39" i="2" s="1"/>
  <c r="K38" i="2"/>
  <c r="O38" i="2" s="1"/>
  <c r="J38" i="2"/>
  <c r="I38" i="2"/>
  <c r="N38" i="2" s="1"/>
  <c r="H38" i="2"/>
  <c r="M38" i="2" s="1"/>
  <c r="K37" i="2"/>
  <c r="O37" i="2" s="1"/>
  <c r="J37" i="2"/>
  <c r="I37" i="2"/>
  <c r="N37" i="2" s="1"/>
  <c r="H37" i="2"/>
  <c r="M37" i="2" s="1"/>
  <c r="K36" i="2"/>
  <c r="O36" i="2" s="1"/>
  <c r="J36" i="2"/>
  <c r="I36" i="2"/>
  <c r="N36" i="2" s="1"/>
  <c r="H36" i="2"/>
  <c r="M36" i="2" s="1"/>
  <c r="K35" i="2"/>
  <c r="O35" i="2" s="1"/>
  <c r="J35" i="2"/>
  <c r="I35" i="2"/>
  <c r="N35" i="2" s="1"/>
  <c r="H35" i="2"/>
  <c r="M35" i="2" s="1"/>
  <c r="K34" i="2"/>
  <c r="O34" i="2" s="1"/>
  <c r="J34" i="2"/>
  <c r="I34" i="2"/>
  <c r="N34" i="2" s="1"/>
  <c r="H34" i="2"/>
  <c r="M34" i="2" s="1"/>
  <c r="K33" i="2"/>
  <c r="O33" i="2" s="1"/>
  <c r="J33" i="2"/>
  <c r="I33" i="2"/>
  <c r="N33" i="2" s="1"/>
  <c r="H33" i="2"/>
  <c r="M33" i="2" s="1"/>
  <c r="K32" i="2"/>
  <c r="O32" i="2" s="1"/>
  <c r="J32" i="2"/>
  <c r="I32" i="2"/>
  <c r="N32" i="2" s="1"/>
  <c r="H32" i="2"/>
  <c r="M32" i="2" s="1"/>
  <c r="K31" i="2"/>
  <c r="O31" i="2" s="1"/>
  <c r="J31" i="2"/>
  <c r="I31" i="2"/>
  <c r="N31" i="2" s="1"/>
  <c r="H31" i="2"/>
  <c r="M31" i="2" s="1"/>
  <c r="K30" i="2"/>
  <c r="O30" i="2" s="1"/>
  <c r="J30" i="2"/>
  <c r="I30" i="2"/>
  <c r="N30" i="2" s="1"/>
  <c r="H30" i="2"/>
  <c r="M30" i="2" s="1"/>
  <c r="K29" i="2"/>
  <c r="O29" i="2" s="1"/>
  <c r="J29" i="2"/>
  <c r="I29" i="2"/>
  <c r="N29" i="2" s="1"/>
  <c r="H29" i="2"/>
  <c r="M29" i="2" s="1"/>
  <c r="K6" i="2"/>
  <c r="O6" i="2" s="1"/>
  <c r="J6" i="2"/>
  <c r="I6" i="2"/>
  <c r="N6" i="2" s="1"/>
  <c r="H6" i="2"/>
  <c r="M6" i="2" s="1"/>
  <c r="I5" i="2"/>
  <c r="N5" i="2" s="1"/>
  <c r="H5" i="2"/>
  <c r="M5" i="2" s="1"/>
  <c r="I4" i="2"/>
  <c r="N4" i="2" s="1"/>
  <c r="H4" i="2"/>
  <c r="M4" i="2" s="1"/>
  <c r="I3" i="2"/>
  <c r="N3" i="2" s="1"/>
  <c r="H3" i="2"/>
  <c r="K2" i="2"/>
  <c r="O2" i="2" s="1"/>
  <c r="J2" i="2"/>
  <c r="I2" i="2"/>
  <c r="N2" i="2" s="1"/>
  <c r="H2" i="2"/>
  <c r="M2" i="2" s="1"/>
  <c r="K28" i="2"/>
  <c r="O28" i="2" s="1"/>
  <c r="J28" i="2"/>
  <c r="I28" i="2"/>
  <c r="N28" i="2" s="1"/>
  <c r="J27" i="2"/>
  <c r="I27" i="2"/>
  <c r="N27" i="2" s="1"/>
  <c r="J26" i="2"/>
  <c r="I26" i="2"/>
  <c r="N26" i="2" s="1"/>
  <c r="K25" i="2"/>
  <c r="J25" i="2"/>
  <c r="I25" i="2"/>
  <c r="N25" i="2" s="1"/>
  <c r="J24" i="2"/>
  <c r="I24" i="2"/>
  <c r="N24" i="2" s="1"/>
  <c r="J23" i="2"/>
  <c r="I23" i="2"/>
  <c r="N23" i="2" s="1"/>
  <c r="K22" i="2"/>
  <c r="J22" i="2"/>
  <c r="I22" i="2"/>
  <c r="N22" i="2" s="1"/>
  <c r="J21" i="2"/>
  <c r="I21" i="2"/>
  <c r="N21" i="2" s="1"/>
  <c r="J20" i="2"/>
  <c r="I20" i="2"/>
  <c r="N20" i="2" s="1"/>
  <c r="K19" i="2"/>
  <c r="J19" i="2"/>
  <c r="I19" i="2"/>
  <c r="N19" i="2" s="1"/>
  <c r="J18" i="2"/>
  <c r="I18" i="2"/>
  <c r="N18" i="2" s="1"/>
  <c r="J17" i="2"/>
  <c r="I17" i="2"/>
  <c r="N17" i="2" s="1"/>
  <c r="K16" i="2"/>
  <c r="J16" i="2"/>
  <c r="I16" i="2"/>
  <c r="N16" i="2" s="1"/>
  <c r="J15" i="2"/>
  <c r="I15" i="2"/>
  <c r="N15" i="2" s="1"/>
  <c r="J14" i="2"/>
  <c r="I14" i="2"/>
  <c r="N14" i="2" s="1"/>
  <c r="K13" i="2"/>
  <c r="J13" i="2"/>
  <c r="I13" i="2"/>
  <c r="N13" i="2" s="1"/>
  <c r="J12" i="2"/>
  <c r="I12" i="2"/>
  <c r="N12" i="2" s="1"/>
  <c r="J11" i="2"/>
  <c r="I11" i="2"/>
  <c r="N11" i="2" s="1"/>
  <c r="K10" i="2"/>
  <c r="J10" i="2"/>
  <c r="I10" i="2"/>
  <c r="N10" i="2" s="1"/>
  <c r="J9" i="2"/>
  <c r="I9" i="2"/>
  <c r="N9" i="2" s="1"/>
  <c r="J8" i="2"/>
  <c r="I8" i="2"/>
  <c r="N8" i="2" s="1"/>
  <c r="K7" i="2"/>
  <c r="J7" i="2"/>
  <c r="I7" i="2"/>
  <c r="N7" i="2" s="1"/>
  <c r="K1" i="2"/>
  <c r="J1" i="2"/>
  <c r="I1" i="2"/>
  <c r="N1" i="2" s="1"/>
  <c r="H1" i="2"/>
  <c r="M1" i="2" s="1"/>
  <c r="O25" i="2" l="1"/>
  <c r="G9" i="2"/>
  <c r="A8" i="9" s="1"/>
  <c r="A10" i="9" s="1"/>
  <c r="O10" i="2"/>
  <c r="O22" i="2"/>
  <c r="M3" i="2"/>
  <c r="O13" i="2"/>
  <c r="O7" i="2"/>
  <c r="O16" i="2"/>
  <c r="O19" i="2"/>
  <c r="M8" i="2"/>
  <c r="J5" i="2"/>
  <c r="J4" i="2"/>
  <c r="J3" i="2"/>
  <c r="G11" i="2" l="1"/>
  <c r="A17" i="1" s="1"/>
  <c r="A6" i="15"/>
  <c r="A8" i="15" s="1"/>
  <c r="K3" i="2"/>
  <c r="O3" i="2" s="1"/>
  <c r="K14" i="2"/>
  <c r="O14" i="2" s="1"/>
  <c r="K8" i="2"/>
  <c r="O8" i="2" s="1"/>
  <c r="A19" i="17" l="1"/>
  <c r="A22" i="17" s="1"/>
  <c r="J5" i="7"/>
  <c r="J5" i="14"/>
  <c r="K24" i="2"/>
  <c r="O24" i="2" s="1"/>
  <c r="K23" i="2"/>
  <c r="O23" i="2" s="1"/>
  <c r="K15" i="2"/>
  <c r="O15" i="2" s="1"/>
  <c r="K27" i="2"/>
  <c r="O27" i="2" s="1"/>
  <c r="K26" i="2"/>
  <c r="O26" i="2" s="1"/>
  <c r="K18" i="2"/>
  <c r="O18" i="2" s="1"/>
  <c r="K17" i="2"/>
  <c r="O17" i="2" s="1"/>
  <c r="K12" i="2"/>
  <c r="O12" i="2" s="1"/>
  <c r="K11" i="2"/>
  <c r="O11" i="2" s="1"/>
  <c r="K21" i="2"/>
  <c r="O21" i="2" s="1"/>
  <c r="K20" i="2"/>
  <c r="O20" i="2" s="1"/>
  <c r="K4" i="2"/>
  <c r="O4" i="2" s="1"/>
  <c r="K9" i="2" l="1"/>
  <c r="O9" i="2" s="1"/>
  <c r="K5" i="2"/>
  <c r="O5" i="2" s="1"/>
  <c r="C121" i="1" l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49" i="1" l="1"/>
  <c r="C145" i="1"/>
  <c r="B141" i="1"/>
  <c r="B137" i="1"/>
  <c r="B133" i="1"/>
  <c r="C129" i="1"/>
  <c r="B125" i="1"/>
  <c r="B121" i="1"/>
  <c r="B117" i="1"/>
  <c r="B109" i="1"/>
  <c r="B105" i="1"/>
  <c r="B101" i="1"/>
  <c r="B93" i="1"/>
  <c r="B89" i="1"/>
  <c r="B85" i="1"/>
  <c r="B77" i="1"/>
  <c r="B73" i="1"/>
  <c r="B69" i="1"/>
  <c r="B65" i="1"/>
  <c r="B61" i="1"/>
  <c r="B57" i="1"/>
  <c r="B53" i="1"/>
  <c r="B45" i="1"/>
  <c r="B41" i="1"/>
  <c r="B37" i="1"/>
  <c r="B33" i="1"/>
  <c r="B25" i="1"/>
  <c r="B129" i="1"/>
  <c r="B113" i="1"/>
  <c r="B97" i="1"/>
  <c r="B81" i="1"/>
  <c r="C151" i="1"/>
  <c r="C150" i="1"/>
  <c r="C148" i="1"/>
  <c r="C147" i="1"/>
  <c r="C146" i="1"/>
  <c r="C144" i="1"/>
  <c r="C143" i="1"/>
  <c r="C142" i="1"/>
  <c r="C140" i="1"/>
  <c r="C139" i="1"/>
  <c r="C138" i="1"/>
  <c r="C136" i="1"/>
  <c r="C135" i="1"/>
  <c r="C134" i="1"/>
  <c r="C132" i="1"/>
  <c r="C131" i="1"/>
  <c r="C130" i="1"/>
  <c r="C128" i="1"/>
  <c r="C127" i="1"/>
  <c r="C126" i="1"/>
  <c r="C124" i="1"/>
  <c r="C123" i="1"/>
  <c r="C122" i="1"/>
  <c r="B49" i="1"/>
  <c r="B151" i="1"/>
  <c r="B150" i="1"/>
  <c r="B148" i="1"/>
  <c r="B147" i="1"/>
  <c r="B146" i="1"/>
  <c r="B144" i="1"/>
  <c r="B143" i="1"/>
  <c r="B142" i="1"/>
  <c r="B140" i="1"/>
  <c r="B139" i="1"/>
  <c r="B138" i="1"/>
  <c r="B136" i="1"/>
  <c r="B135" i="1"/>
  <c r="B134" i="1"/>
  <c r="B132" i="1"/>
  <c r="B131" i="1"/>
  <c r="B130" i="1"/>
  <c r="B128" i="1"/>
  <c r="B127" i="1"/>
  <c r="B126" i="1"/>
  <c r="B124" i="1"/>
  <c r="B123" i="1"/>
  <c r="B122" i="1"/>
  <c r="B120" i="1"/>
  <c r="B119" i="1"/>
  <c r="B118" i="1"/>
  <c r="B116" i="1"/>
  <c r="B115" i="1"/>
  <c r="B114" i="1"/>
  <c r="B112" i="1"/>
  <c r="B111" i="1"/>
  <c r="B110" i="1"/>
  <c r="B108" i="1"/>
  <c r="B107" i="1"/>
  <c r="B106" i="1"/>
  <c r="B104" i="1"/>
  <c r="B103" i="1"/>
  <c r="B102" i="1"/>
  <c r="B100" i="1"/>
  <c r="B99" i="1"/>
  <c r="B98" i="1"/>
  <c r="B96" i="1"/>
  <c r="B95" i="1"/>
  <c r="B94" i="1"/>
  <c r="B92" i="1"/>
  <c r="B91" i="1"/>
  <c r="B90" i="1"/>
  <c r="B88" i="1"/>
  <c r="B87" i="1"/>
  <c r="B86" i="1"/>
  <c r="B84" i="1"/>
  <c r="B83" i="1"/>
  <c r="B82" i="1"/>
  <c r="B80" i="1"/>
  <c r="B79" i="1"/>
  <c r="B78" i="1"/>
  <c r="B76" i="1"/>
  <c r="B75" i="1"/>
  <c r="B74" i="1"/>
  <c r="B72" i="1"/>
  <c r="B71" i="1"/>
  <c r="B70" i="1"/>
  <c r="B68" i="1"/>
  <c r="B67" i="1"/>
  <c r="B66" i="1"/>
  <c r="B64" i="1"/>
  <c r="B63" i="1"/>
  <c r="B62" i="1"/>
  <c r="B60" i="1"/>
  <c r="B59" i="1"/>
  <c r="B58" i="1"/>
  <c r="B56" i="1"/>
  <c r="B55" i="1"/>
  <c r="B54" i="1"/>
  <c r="B52" i="1"/>
  <c r="B51" i="1"/>
  <c r="B50" i="1"/>
  <c r="B48" i="1"/>
  <c r="B47" i="1"/>
  <c r="B46" i="1"/>
  <c r="B44" i="1"/>
  <c r="B43" i="1"/>
  <c r="B42" i="1"/>
  <c r="B40" i="1"/>
  <c r="B39" i="1"/>
  <c r="B38" i="1"/>
  <c r="B36" i="1"/>
  <c r="B35" i="1"/>
  <c r="B34" i="1"/>
  <c r="B32" i="1"/>
  <c r="B31" i="1"/>
  <c r="B30" i="1"/>
  <c r="B28" i="1"/>
  <c r="B27" i="1"/>
  <c r="B26" i="1"/>
  <c r="B149" i="1" l="1"/>
  <c r="B145" i="1"/>
  <c r="C125" i="1"/>
  <c r="C133" i="1"/>
  <c r="C137" i="1"/>
  <c r="C141" i="1"/>
  <c r="B29" i="1"/>
  <c r="I11" i="1" l="1"/>
</calcChain>
</file>

<file path=xl/sharedStrings.xml><?xml version="1.0" encoding="utf-8"?>
<sst xmlns="http://schemas.openxmlformats.org/spreadsheetml/2006/main" count="4348" uniqueCount="51">
  <si>
    <t>Date:</t>
  </si>
  <si>
    <t>Spec Name:</t>
  </si>
  <si>
    <t>Study:</t>
  </si>
  <si>
    <t>Reporting Currency:</t>
  </si>
  <si>
    <t>Reference Year:</t>
  </si>
  <si>
    <t>Content Constraints:</t>
  </si>
  <si>
    <t>Reports Included:</t>
  </si>
  <si>
    <t>Quantiles Included:</t>
  </si>
  <si>
    <t xml:space="preserve">Number of Households </t>
  </si>
  <si>
    <t>Number of Household Member Columns</t>
  </si>
  <si>
    <t>Household Member Data  Truncated - See original data extract for full data set</t>
  </si>
  <si>
    <t>Report Data Truncated - too many Households</t>
  </si>
  <si>
    <t>Number of Household Member Rows</t>
  </si>
  <si>
    <t xml:space="preserve">see data extract file for details </t>
  </si>
  <si>
    <t/>
  </si>
  <si>
    <t>No. of Communities</t>
  </si>
  <si>
    <t>No. Of WGs</t>
  </si>
  <si>
    <t xml:space="preserve"> </t>
  </si>
  <si>
    <t>Disposable Income per Head</t>
  </si>
  <si>
    <t>Title 1</t>
  </si>
  <si>
    <t>Title 2</t>
  </si>
  <si>
    <t>Title 3</t>
  </si>
  <si>
    <t>Title 4</t>
  </si>
  <si>
    <t>No of Communities</t>
  </si>
  <si>
    <t>No of WGs</t>
  </si>
  <si>
    <t>No of Asset Sub-Types</t>
  </si>
  <si>
    <t>LZ</t>
  </si>
  <si>
    <t>Unit</t>
  </si>
  <si>
    <t>Community</t>
  </si>
  <si>
    <t>Land Area Unit:</t>
  </si>
  <si>
    <t>DI perAE</t>
  </si>
  <si>
    <t>DI after Social Inclusion Costs</t>
  </si>
  <si>
    <t>DI after Survival Costs</t>
  </si>
  <si>
    <t>title: detail AE</t>
  </si>
  <si>
    <t>title: detail family group</t>
  </si>
  <si>
    <t>title: average AE</t>
  </si>
  <si>
    <t>title: average family group</t>
  </si>
  <si>
    <t>Number of WGs</t>
  </si>
  <si>
    <t>Number of Village/Communities</t>
  </si>
  <si>
    <t>No. of WGs</t>
  </si>
  <si>
    <t>Wealthgroup</t>
  </si>
  <si>
    <t>Family Group Size</t>
  </si>
  <si>
    <t>Disposable Income</t>
  </si>
  <si>
    <t>Title (averages)</t>
  </si>
  <si>
    <t>Title (Communities)</t>
  </si>
  <si>
    <t>title (detail)</t>
  </si>
  <si>
    <t>title (summary)</t>
  </si>
  <si>
    <t xml:space="preserve"> Title (detail)</t>
  </si>
  <si>
    <t>Title (Summary)</t>
  </si>
  <si>
    <t>Title (Detail)</t>
  </si>
  <si>
    <t>No of LZs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</si>
</sst>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809]dd\ mmmm\ yyyy;@"/>
    <numFmt numFmtId="165" formatCode="[$-F800]dddd\,\ mmmm\ dd\,\ yyyy"/>
    <numFmt numFmtId="166" formatCode="0.0"/>
  </numFmts>
  <fonts count="23">
    <font>
      <sz val="12"/>
      <color theme="1"/>
      <name val="Calibri"/>
      <family val="2"/>
      <scheme val="minor"/>
    </font>
    <font>
      <sz val="11"/>
      <color indexed="8"/>
      <name val="Calibri"/>
      <family val="2"/>
    </font>
    <font>
      <b/>
      <i/>
      <sz val="14"/>
      <color theme="4" tint="-0.249977111117893"/>
      <name val="Calibri"/>
      <family val="2"/>
      <scheme val="minor"/>
    </font>
    <font>
      <sz val="12"/>
      <name val="Calibri"/>
      <family val="2"/>
      <scheme val="minor"/>
    </font>
    <font>
      <sz val="14"/>
      <color theme="4" tint="-0.499984740745262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2"/>
      <color theme="4" tint="-0.499984740745262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b/>
      <sz val="12"/>
      <color indexed="8"/>
      <name val="Calibri (Body)"/>
    </font>
    <font>
      <b/>
      <sz val="14"/>
      <color indexed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indexed="8"/>
      <name val="Calibri (Body)"/>
    </font>
    <font>
      <sz val="12"/>
      <color theme="1"/>
      <name val="Calibri (Body)"/>
    </font>
    <font>
      <b/>
      <sz val="14"/>
      <color theme="1"/>
      <name val="Calibri (Body)"/>
    </font>
    <font>
      <b/>
      <sz val="14"/>
      <color indexed="8"/>
      <name val="Calibri (Body)"/>
    </font>
    <font>
      <sz val="12"/>
      <color indexed="8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9">
    <xf numFmtId="0" fontId="0" fillId="0" borderId="0" xfId="0"/>
    <xf numFmtId="49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 vertical="center"/>
    </xf>
    <xf numFmtId="1" fontId="1" fillId="0" borderId="0" xfId="0" applyNumberFormat="1" applyFont="1" applyAlignment="1">
      <alignment horizontal="right" vertical="center"/>
    </xf>
    <xf numFmtId="1" fontId="0" fillId="0" borderId="0" xfId="0" applyNumberFormat="1" applyAlignment="1">
      <alignment horizontal="right"/>
    </xf>
    <xf numFmtId="1" fontId="3" fillId="0" borderId="0" xfId="0" applyNumberFormat="1" applyFont="1" applyAlignment="1">
      <alignment horizontal="center"/>
    </xf>
    <xf numFmtId="164" fontId="4" fillId="0" borderId="0" xfId="0" applyNumberFormat="1" applyFont="1" applyAlignment="1">
      <alignment horizontal="left" indent="1"/>
    </xf>
    <xf numFmtId="0" fontId="4" fillId="0" borderId="0" xfId="0" applyFont="1" applyAlignment="1">
      <alignment horizontal="left" indent="1"/>
    </xf>
    <xf numFmtId="1" fontId="4" fillId="0" borderId="0" xfId="0" applyNumberFormat="1" applyFont="1" applyAlignment="1">
      <alignment horizontal="left" indent="1"/>
    </xf>
    <xf numFmtId="1" fontId="4" fillId="0" borderId="0" xfId="0" applyNumberFormat="1" applyFont="1" applyAlignment="1">
      <alignment horizontal="right"/>
    </xf>
    <xf numFmtId="49" fontId="2" fillId="0" borderId="0" xfId="0" applyNumberFormat="1" applyFont="1" applyAlignment="1">
      <alignment horizontal="right" vertical="center"/>
    </xf>
    <xf numFmtId="164" fontId="5" fillId="0" borderId="0" xfId="0" applyNumberFormat="1" applyFont="1" applyAlignment="1">
      <alignment horizontal="right"/>
    </xf>
    <xf numFmtId="0" fontId="2" fillId="0" borderId="0" xfId="0" applyFont="1" applyAlignment="1">
      <alignment horizontal="right" vertical="center"/>
    </xf>
    <xf numFmtId="1" fontId="1" fillId="0" borderId="0" xfId="0" applyNumberFormat="1" applyFont="1" applyAlignment="1">
      <alignment horizontal="right" vertical="center" indent="1"/>
    </xf>
    <xf numFmtId="1" fontId="0" fillId="0" borderId="0" xfId="0" applyNumberFormat="1" applyAlignment="1">
      <alignment horizontal="right" indent="1"/>
    </xf>
    <xf numFmtId="49" fontId="2" fillId="0" borderId="0" xfId="0" applyNumberFormat="1" applyFont="1" applyAlignment="1">
      <alignment horizontal="right" vertical="center" indent="1"/>
    </xf>
    <xf numFmtId="164" fontId="5" fillId="0" borderId="0" xfId="0" applyNumberFormat="1" applyFont="1" applyAlignment="1">
      <alignment horizontal="right" indent="1"/>
    </xf>
    <xf numFmtId="0" fontId="2" fillId="0" borderId="0" xfId="0" applyFont="1" applyAlignment="1">
      <alignment horizontal="right" vertical="center" indent="1"/>
    </xf>
    <xf numFmtId="49" fontId="5" fillId="0" borderId="0" xfId="0" applyNumberFormat="1" applyFont="1" applyAlignment="1">
      <alignment horizontal="right" vertical="center" indent="1"/>
    </xf>
    <xf numFmtId="49" fontId="5" fillId="0" borderId="0" xfId="0" applyNumberFormat="1" applyFont="1" applyAlignment="1">
      <alignment horizontal="right" vertical="center" wrapText="1" indent="1"/>
    </xf>
    <xf numFmtId="0" fontId="2" fillId="0" borderId="0" xfId="0" applyFont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right" indent="1"/>
    </xf>
    <xf numFmtId="0" fontId="4" fillId="0" borderId="0" xfId="0" applyFont="1"/>
    <xf numFmtId="0" fontId="0" fillId="0" borderId="0" xfId="0" applyAlignment="1">
      <alignment horizontal="left" indent="1"/>
    </xf>
    <xf numFmtId="0" fontId="0" fillId="0" borderId="0" xfId="0" applyNumberFormat="1" applyAlignment="1"/>
    <xf numFmtId="0" fontId="0" fillId="0" borderId="0" xfId="0" applyNumberFormat="1"/>
    <xf numFmtId="0" fontId="7" fillId="0" borderId="0" xfId="0" applyFont="1"/>
    <xf numFmtId="0" fontId="8" fillId="0" borderId="0" xfId="0" applyNumberFormat="1" applyFont="1"/>
    <xf numFmtId="49" fontId="4" fillId="0" borderId="0" xfId="0" applyNumberFormat="1" applyFont="1" applyAlignment="1">
      <alignment horizontal="left" indent="1"/>
    </xf>
    <xf numFmtId="49" fontId="4" fillId="0" borderId="0" xfId="0" applyNumberFormat="1" applyFont="1" applyAlignment="1">
      <alignment horizontal="left" indent="2"/>
    </xf>
    <xf numFmtId="49" fontId="6" fillId="0" borderId="0" xfId="0" applyNumberFormat="1" applyFont="1" applyAlignment="1">
      <alignment horizontal="left" indent="2"/>
    </xf>
    <xf numFmtId="165" fontId="4" fillId="0" borderId="0" xfId="0" applyNumberFormat="1" applyFont="1" applyAlignment="1">
      <alignment horizontal="left" indent="1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left" indent="1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left"/>
    </xf>
    <xf numFmtId="0" fontId="0" fillId="0" borderId="0" xfId="0" applyFont="1"/>
    <xf numFmtId="1" fontId="0" fillId="0" borderId="0" xfId="0" applyNumberFormat="1" applyFont="1"/>
    <xf numFmtId="0" fontId="6" fillId="0" borderId="0" xfId="0" applyFont="1" applyAlignment="1">
      <alignment horizontal="center" vertical="center"/>
    </xf>
    <xf numFmtId="166" fontId="6" fillId="0" borderId="0" xfId="0" applyNumberFormat="1" applyFont="1" applyAlignment="1">
      <alignment horizontal="center" vertical="center"/>
    </xf>
    <xf numFmtId="0" fontId="0" fillId="0" borderId="0" xfId="0" applyAlignment="1">
      <alignment horizontal="right"/>
    </xf>
    <xf numFmtId="1" fontId="3" fillId="0" borderId="0" xfId="0" applyNumberFormat="1" applyFont="1" applyAlignment="1">
      <alignment horizontal="right"/>
    </xf>
    <xf numFmtId="166" fontId="0" fillId="0" borderId="0" xfId="0" applyNumberFormat="1" applyAlignment="1">
      <alignment horizontal="right" vertical="center" indent="1"/>
    </xf>
    <xf numFmtId="166" fontId="3" fillId="0" borderId="0" xfId="0" applyNumberFormat="1" applyFont="1" applyAlignment="1">
      <alignment horizontal="right" vertical="center" indent="1"/>
    </xf>
    <xf numFmtId="0" fontId="11" fillId="0" borderId="0" xfId="0" applyFont="1"/>
    <xf numFmtId="0" fontId="11" fillId="0" borderId="0" xfId="0" applyFont="1" applyAlignment="1">
      <alignment horizontal="right"/>
    </xf>
    <xf numFmtId="166" fontId="11" fillId="0" borderId="0" xfId="0" applyNumberFormat="1" applyFont="1" applyAlignment="1">
      <alignment horizontal="right" vertical="center" indent="1"/>
    </xf>
    <xf numFmtId="1" fontId="11" fillId="0" borderId="0" xfId="0" applyNumberFormat="1" applyFont="1" applyAlignment="1">
      <alignment horizontal="center"/>
    </xf>
    <xf numFmtId="1" fontId="11" fillId="0" borderId="0" xfId="0" applyNumberFormat="1" applyFont="1"/>
    <xf numFmtId="0" fontId="5" fillId="0" borderId="0" xfId="0" applyFont="1" applyAlignment="1">
      <alignment horizontal="center" vertical="center"/>
    </xf>
    <xf numFmtId="0" fontId="12" fillId="0" borderId="0" xfId="0" applyFont="1"/>
    <xf numFmtId="1" fontId="12" fillId="0" borderId="0" xfId="0" applyNumberFormat="1" applyFont="1"/>
    <xf numFmtId="1" fontId="11" fillId="0" borderId="0" xfId="0" applyNumberFormat="1" applyFont="1" applyAlignment="1">
      <alignment horizontal="right"/>
    </xf>
    <xf numFmtId="1" fontId="10" fillId="0" borderId="0" xfId="0" applyNumberFormat="1" applyFont="1" applyAlignment="1">
      <alignment horizontal="right" vertical="center" wrapText="1" indent="1"/>
    </xf>
    <xf numFmtId="1" fontId="14" fillId="0" borderId="0" xfId="0" applyNumberFormat="1" applyFont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1" fontId="15" fillId="0" borderId="0" xfId="0" applyNumberFormat="1" applyFont="1" applyAlignment="1">
      <alignment horizontal="center" vertical="center" wrapText="1"/>
    </xf>
    <xf numFmtId="1" fontId="1" fillId="0" borderId="0" xfId="0" applyNumberFormat="1" applyFont="1" applyAlignment="1">
      <alignment horizontal="right" vertical="center" indent="2"/>
    </xf>
    <xf numFmtId="1" fontId="0" fillId="0" borderId="0" xfId="0" applyNumberFormat="1" applyAlignment="1">
      <alignment horizontal="right" indent="2"/>
    </xf>
    <xf numFmtId="1" fontId="0" fillId="0" borderId="0" xfId="0" applyNumberFormat="1" applyFont="1" applyAlignment="1">
      <alignment horizontal="right" indent="2"/>
    </xf>
    <xf numFmtId="1" fontId="16" fillId="0" borderId="0" xfId="0" applyNumberFormat="1" applyFont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 indent="1"/>
    </xf>
    <xf numFmtId="1" fontId="17" fillId="0" borderId="0" xfId="0" applyNumberFormat="1" applyFont="1"/>
    <xf numFmtId="0" fontId="17" fillId="0" borderId="0" xfId="0" applyFont="1"/>
    <xf numFmtId="1" fontId="16" fillId="0" borderId="0" xfId="0" applyNumberFormat="1" applyFont="1" applyAlignment="1">
      <alignment horizontal="right" vertical="center" indent="1"/>
    </xf>
    <xf numFmtId="1" fontId="13" fillId="0" borderId="0" xfId="0" applyNumberFormat="1" applyFont="1" applyAlignment="1">
      <alignment horizontal="left" vertical="center" wrapText="1"/>
    </xf>
    <xf numFmtId="0" fontId="18" fillId="0" borderId="0" xfId="0" applyFont="1" applyAlignment="1">
      <alignment horizontal="center" vertical="center" wrapText="1"/>
    </xf>
    <xf numFmtId="1" fontId="19" fillId="0" borderId="0" xfId="0" applyNumberFormat="1" applyFont="1" applyAlignment="1">
      <alignment horizontal="center" vertical="center" wrapText="1"/>
    </xf>
    <xf numFmtId="0" fontId="0" fillId="0" borderId="0" xfId="0" applyFont="1" applyAlignment="1">
      <alignment horizontal="center" wrapText="1"/>
    </xf>
    <xf numFmtId="0" fontId="0" fillId="0" borderId="0" xfId="0" applyFont="1" applyAlignment="1">
      <alignment horizontal="center" vertical="center"/>
    </xf>
    <xf numFmtId="1" fontId="10" fillId="0" borderId="0" xfId="0" applyNumberFormat="1" applyFont="1" applyAlignment="1">
      <alignment horizontal="right" vertical="center" wrapText="1" indent="2"/>
    </xf>
    <xf numFmtId="0" fontId="0" fillId="0" borderId="0" xfId="0" applyFont="1" applyAlignment="1">
      <alignment horizontal="right" indent="1"/>
    </xf>
    <xf numFmtId="1" fontId="0" fillId="0" borderId="0" xfId="0" applyNumberFormat="1" applyFont="1" applyAlignment="1">
      <alignment horizontal="right" indent="1"/>
    </xf>
    <xf numFmtId="1" fontId="20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0" fontId="21" fillId="0" borderId="0" xfId="0" applyFont="1" applyAlignment="1">
      <alignment horizontal="left" indent="1"/>
    </xf>
    <xf numFmtId="49" fontId="11" fillId="0" borderId="0" xfId="0" applyNumberFormat="1" applyFont="1" applyAlignment="1">
      <alignment horizontal="right"/>
    </xf>
    <xf numFmtId="1" fontId="22" fillId="0" borderId="0" xfId="0" applyNumberFormat="1" applyFont="1"/>
    <xf numFmtId="166" fontId="11" fillId="0" borderId="0" xfId="0" applyNumberFormat="1" applyFont="1" applyAlignment="1">
      <alignment horizontal="center" vertical="center"/>
    </xf>
    <xf numFmtId="166" fontId="11" fillId="0" borderId="0" xfId="0" applyNumberFormat="1" applyFont="1" applyAlignment="1">
      <alignment horizontal="right" vertical="center" indent="2"/>
    </xf>
    <xf numFmtId="1" fontId="11" fillId="0" borderId="0" xfId="0" applyNumberFormat="1" applyFont="1" applyAlignment="1">
      <alignment horizontal="left" vertical="center" indent="1"/>
    </xf>
    <xf numFmtId="1" fontId="11" fillId="0" borderId="0" xfId="0" applyNumberFormat="1" applyFont="1" applyAlignment="1">
      <alignment horizontal="left" indent="1"/>
    </xf>
    <xf numFmtId="166" fontId="11" fillId="0" borderId="0" xfId="0" applyNumberFormat="1" applyFont="1" applyAlignment="1">
      <alignment horizontal="right" vertical="center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 wrapText="1" indent="2"/>
    </xf>
    <xf numFmtId="0" fontId="0" fillId="0" borderId="0" xfId="0" applyFont="1" applyAlignment="1">
      <alignment horizontal="right" wrapText="1" indent="1"/>
    </xf>
    <xf numFmtId="1" fontId="3" fillId="0" borderId="0" xfId="0" applyNumberFormat="1" applyFont="1" applyAlignment="1">
      <alignment horizontal="right" indent="1"/>
    </xf>
    <xf numFmtId="0" fontId="0" fillId="0" borderId="0" xfId="0" applyFont="1" applyAlignment="1">
      <alignment horizontal="right" wrapText="1" indent="2"/>
    </xf>
    <xf numFmtId="1" fontId="3" fillId="0" borderId="0" xfId="0" applyNumberFormat="1" applyFont="1" applyAlignment="1">
      <alignment horizontal="right" indent="2"/>
    </xf>
    <xf numFmtId="0" fontId="0" fillId="0" borderId="0" xfId="0" applyFont="1" applyAlignment="1">
      <alignment horizontal="right" indent="2"/>
    </xf>
    <xf numFmtId="0" fontId="0" fillId="0" borderId="0" xfId="0" applyFont="1" applyAlignment="1">
      <alignment horizontal="right" vertical="center" indent="1"/>
    </xf>
    <xf numFmtId="0" fontId="0" fillId="0" borderId="0" xfId="0" applyFont="1" applyAlignment="1">
      <alignment horizontal="right" vertical="center" wrapText="1" indent="1"/>
    </xf>
    <xf numFmtId="0" fontId="0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22" fillId="0" borderId="0" xfId="0" applyFont="1"/>
    <xf numFmtId="0" fontId="11" fillId="0" borderId="0" xfId="0" applyFont="1" applyAlignment="1">
      <alignment horizontal="left" indent="1"/>
    </xf>
  </cellXfs>
  <cellStyles count="1">
    <cellStyle name="Normal" xfId="0" builtinId="0"/>
  </cellStyles>
  <dxfs count="6">
    <dxf>
      <font>
        <color theme="4" tint="-0.24994659260841701"/>
      </font>
    </dxf>
    <dxf>
      <font>
        <color theme="4" tint="-0.24994659260841701"/>
      </font>
    </dxf>
    <dxf>
      <font>
        <color theme="4" tint="-0.24994659260841701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2" defaultPivotStyle="PivotStyleLight16"/>
  <colors>
    <mruColors>
      <color rgb="FFFFA099"/>
      <color rgb="FFFF8276"/>
      <color rgb="FFFFF096"/>
      <color rgb="FF64A7D7"/>
      <color rgb="FF3288D7"/>
      <color rgb="FF317F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'Disposable Income Data'!$G$17</c:f>
          <c:strCache>
            <c:ptCount val="1"/>
            <c:pt idx="0">
              <c:v>Banana Coffee Piggery LZ, Disposable Income per Adult Equivalent (UGX)</c:v>
            </c:pt>
          </c:strCache>
        </c:strRef>
      </c:tx>
      <c:layout>
        <c:manualLayout>
          <c:xMode val="edge"/>
          <c:yMode val="edge"/>
          <c:x val="0.16634824667472792"/>
          <c:y val="2.72942018611309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'Disposable Income Data'!$G$17</c:f>
              <c:strCache>
                <c:ptCount val="1"/>
                <c:pt idx="0">
                  <c:v>Banana Coffee Piggery LZ, Disposable Income per Adult Equivalent (UGX)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cat>
            <c:multiLvlStrRef>
              <c:f>'Disposable Income Data'!$M$7:$N$27</c:f>
              <c:multiLvlStrCache>
                <c:ptCount val="21"/>
                <c:lvl>
                  <c:pt idx="0">
                    <c:v>Poor</c:v>
                  </c:pt>
                  <c:pt idx="1">
                    <c:v>Middle</c:v>
                  </c:pt>
                  <c:pt idx="2">
                    <c:v>Better Off</c:v>
                  </c:pt>
                  <c:pt idx="3">
                    <c:v>Poor</c:v>
                  </c:pt>
                  <c:pt idx="4">
                    <c:v>Middle</c:v>
                  </c:pt>
                  <c:pt idx="5">
                    <c:v>Better Off</c:v>
                  </c:pt>
                  <c:pt idx="6">
                    <c:v>Poor</c:v>
                  </c:pt>
                  <c:pt idx="7">
                    <c:v>Middle</c:v>
                  </c:pt>
                  <c:pt idx="8">
                    <c:v>Better Off</c:v>
                  </c:pt>
                  <c:pt idx="9">
                    <c:v>Poor</c:v>
                  </c:pt>
                  <c:pt idx="10">
                    <c:v>Middle</c:v>
                  </c:pt>
                  <c:pt idx="11">
                    <c:v>Better Off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</c:lvl>
                <c:lvl>
                  <c:pt idx="0">
                    <c:v> </c:v>
                  </c:pt>
                  <c:pt idx="1">
                    <c:v>Mukono Butere</c:v>
                  </c:pt>
                  <c:pt idx="2">
                    <c:v> </c:v>
                  </c:pt>
                  <c:pt idx="3">
                    <c:v> </c:v>
                  </c:pt>
                  <c:pt idx="4">
                    <c:v>Mukono Lusera</c:v>
                  </c:pt>
                  <c:pt idx="5">
                    <c:v> </c:v>
                  </c:pt>
                  <c:pt idx="6">
                    <c:v> </c:v>
                  </c:pt>
                  <c:pt idx="7">
                    <c:v>Mukono Nakisunga</c:v>
                  </c:pt>
                  <c:pt idx="8">
                    <c:v> </c:v>
                  </c:pt>
                  <c:pt idx="9">
                    <c:v> </c:v>
                  </c:pt>
                  <c:pt idx="10">
                    <c:v>Mukono Ntenjeru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</c:lvl>
              </c:multiLvlStrCache>
            </c:multiLvlStrRef>
          </c:cat>
          <c:val>
            <c:numRef>
              <c:f>[0]!DI_PerHead_Values</c:f>
              <c:numCache>
                <c:formatCode>0</c:formatCode>
                <c:ptCount val="12"/>
                <c:pt idx="0">
                  <c:v>1233333.3333333333</c:v>
                </c:pt>
                <c:pt idx="1">
                  <c:v>3869114.2857142859</c:v>
                </c:pt>
                <c:pt idx="2">
                  <c:v>541000</c:v>
                </c:pt>
                <c:pt idx="3">
                  <c:v>373268</c:v>
                </c:pt>
                <c:pt idx="4">
                  <c:v>449632</c:v>
                </c:pt>
                <c:pt idx="5">
                  <c:v>1557.5</c:v>
                </c:pt>
                <c:pt idx="6">
                  <c:v>6560</c:v>
                </c:pt>
                <c:pt idx="7">
                  <c:v>1242592</c:v>
                </c:pt>
                <c:pt idx="8">
                  <c:v>0</c:v>
                </c:pt>
                <c:pt idx="9">
                  <c:v>93000</c:v>
                </c:pt>
                <c:pt idx="10">
                  <c:v>3869114.2857142859</c:v>
                </c:pt>
                <c:pt idx="11">
                  <c:v>1780184.2222222222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FF-4945-BCCD-787416CA0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2"/>
        <c:axId val="1181153247"/>
        <c:axId val="1182092751"/>
      </c:barChart>
      <c:catAx>
        <c:axId val="1181153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5">
                <a:lumMod val="20000"/>
                <a:lumOff val="80000"/>
              </a:schemeClr>
            </a:solidFill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2092751"/>
        <c:crosses val="autoZero"/>
        <c:auto val="1"/>
        <c:lblAlgn val="ctr"/>
        <c:lblOffset val="500"/>
        <c:noMultiLvlLbl val="0"/>
      </c:catAx>
      <c:valAx>
        <c:axId val="1182092751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lumMod val="75000"/>
                  <a:alpha val="10000"/>
                </a:schemeClr>
              </a:solidFill>
              <a:prstDash val="solid"/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1532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12700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5302486482475911"/>
          <c:y val="2.82775847536029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776754495794033E-2"/>
          <c:y val="0.11385624354796267"/>
          <c:w val="0.91183198389953901"/>
          <c:h val="0.5441035969475538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'Disposable Income Data'!$G$14</c:f>
              <c:strCache>
                <c:ptCount val="1"/>
                <c:pt idx="0">
                  <c:v>Banana Coffee Piggery LZ, Disposable Income (UGX)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cat>
            <c:multiLvlStrRef>
              <c:f>[0]!DI_Base_Range</c:f>
              <c:multiLvlStrCache>
                <c:ptCount val="12"/>
                <c:lvl>
                  <c:pt idx="0">
                    <c:v>Poor</c:v>
                  </c:pt>
                  <c:pt idx="1">
                    <c:v>Middle</c:v>
                  </c:pt>
                  <c:pt idx="2">
                    <c:v>Better Off</c:v>
                  </c:pt>
                  <c:pt idx="3">
                    <c:v>Poor</c:v>
                  </c:pt>
                  <c:pt idx="4">
                    <c:v>Middle</c:v>
                  </c:pt>
                  <c:pt idx="5">
                    <c:v>Better Off</c:v>
                  </c:pt>
                  <c:pt idx="6">
                    <c:v>Poor</c:v>
                  </c:pt>
                  <c:pt idx="7">
                    <c:v>Middle</c:v>
                  </c:pt>
                  <c:pt idx="8">
                    <c:v>Better Off</c:v>
                  </c:pt>
                  <c:pt idx="9">
                    <c:v>Poor</c:v>
                  </c:pt>
                  <c:pt idx="10">
                    <c:v>Middle</c:v>
                  </c:pt>
                  <c:pt idx="11">
                    <c:v>Better Off</c:v>
                  </c:pt>
                </c:lvl>
                <c:lvl>
                  <c:pt idx="1">
                    <c:v>Mukono Butere</c:v>
                  </c:pt>
                  <c:pt idx="2">
                    <c:v> </c:v>
                  </c:pt>
                  <c:pt idx="3">
                    <c:v> </c:v>
                  </c:pt>
                  <c:pt idx="4">
                    <c:v>Mukono Lusera</c:v>
                  </c:pt>
                  <c:pt idx="5">
                    <c:v> </c:v>
                  </c:pt>
                  <c:pt idx="6">
                    <c:v> </c:v>
                  </c:pt>
                  <c:pt idx="7">
                    <c:v>Mukono Nakisunga</c:v>
                  </c:pt>
                  <c:pt idx="8">
                    <c:v> </c:v>
                  </c:pt>
                  <c:pt idx="9">
                    <c:v> </c:v>
                  </c:pt>
                  <c:pt idx="10">
                    <c:v>Mukono Ntenjeru</c:v>
                  </c:pt>
                  <c:pt idx="11">
                    <c:v> </c:v>
                  </c:pt>
                </c:lvl>
              </c:multiLvlStrCache>
            </c:multiLvlStrRef>
          </c:cat>
          <c:val>
            <c:numRef>
              <c:f>[0]!DI_Base_Values</c:f>
              <c:numCache>
                <c:formatCode>0</c:formatCode>
                <c:ptCount val="12"/>
                <c:pt idx="0">
                  <c:v>7400000</c:v>
                </c:pt>
                <c:pt idx="1">
                  <c:v>27083800</c:v>
                </c:pt>
                <c:pt idx="2">
                  <c:v>2164000</c:v>
                </c:pt>
                <c:pt idx="3">
                  <c:v>1119804</c:v>
                </c:pt>
                <c:pt idx="4">
                  <c:v>2248160</c:v>
                </c:pt>
                <c:pt idx="5">
                  <c:v>6230</c:v>
                </c:pt>
                <c:pt idx="6">
                  <c:v>32800</c:v>
                </c:pt>
                <c:pt idx="7">
                  <c:v>6212960</c:v>
                </c:pt>
                <c:pt idx="8">
                  <c:v>0</c:v>
                </c:pt>
                <c:pt idx="9">
                  <c:v>465000</c:v>
                </c:pt>
                <c:pt idx="10">
                  <c:v>27083800</c:v>
                </c:pt>
                <c:pt idx="11">
                  <c:v>16021658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39-754A-BFEF-578C9E607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2"/>
        <c:overlap val="-29"/>
        <c:axId val="1092039648"/>
        <c:axId val="1092041328"/>
      </c:barChart>
      <c:catAx>
        <c:axId val="1092039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3">
                <a:lumMod val="40000"/>
                <a:lumOff val="6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041328"/>
        <c:crosses val="autoZero"/>
        <c:auto val="1"/>
        <c:lblAlgn val="ctr"/>
        <c:lblOffset val="500"/>
        <c:tickMarkSkip val="1"/>
        <c:noMultiLvlLbl val="0"/>
      </c:catAx>
      <c:valAx>
        <c:axId val="109204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039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67000">
          <a:schemeClr val="accent5">
            <a:lumMod val="40000"/>
            <a:lumOff val="60000"/>
          </a:schemeClr>
        </a:gs>
        <a:gs pos="21000">
          <a:schemeClr val="bg1"/>
        </a:gs>
        <a:gs pos="99000">
          <a:schemeClr val="bg1"/>
        </a:gs>
      </a:gsLst>
      <a:lin ang="5400000" scaled="1"/>
    </a:gradFill>
    <a:ln w="9525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78181196441423"/>
          <c:y val="0.17521452145214522"/>
          <c:w val="0.78044611053544977"/>
          <c:h val="0.6855172682622593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'Disposable Income Data'!$G$20</c:f>
              <c:strCache>
                <c:ptCount val="1"/>
                <c:pt idx="0">
                  <c:v>Banana Coffee Piggery LZ, Average Disposable Income (UGX)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cat>
            <c:strRef>
              <c:f>'Disposable Income Data'!$I$3:$I$5</c:f>
              <c:strCache>
                <c:ptCount val="3"/>
                <c:pt idx="0">
                  <c:v>Poor</c:v>
                </c:pt>
                <c:pt idx="1">
                  <c:v>Middle</c:v>
                </c:pt>
                <c:pt idx="2">
                  <c:v>Better Off</c:v>
                </c:pt>
              </c:strCache>
            </c:strRef>
          </c:cat>
          <c:val>
            <c:numRef>
              <c:f>'Disposable Income Data'!$K$3:$K$5</c:f>
              <c:numCache>
                <c:formatCode>0</c:formatCode>
                <c:ptCount val="3"/>
                <c:pt idx="0">
                  <c:v>2254401</c:v>
                </c:pt>
                <c:pt idx="1">
                  <c:v>15657180</c:v>
                </c:pt>
                <c:pt idx="2">
                  <c:v>4547972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D3-CB40-9B6C-63C9957D1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16700528"/>
        <c:axId val="1116682912"/>
      </c:barChart>
      <c:catAx>
        <c:axId val="1116700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6682912"/>
        <c:crosses val="autoZero"/>
        <c:auto val="1"/>
        <c:lblAlgn val="ctr"/>
        <c:lblOffset val="100"/>
        <c:noMultiLvlLbl val="0"/>
      </c:catAx>
      <c:valAx>
        <c:axId val="1116682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6700528"/>
        <c:crosses val="autoZero"/>
        <c:crossBetween val="between"/>
      </c:valAx>
      <c:spPr>
        <a:gradFill>
          <a:gsLst>
            <a:gs pos="48000">
              <a:schemeClr val="bg1"/>
            </a:gs>
            <a:gs pos="91000">
              <a:schemeClr val="accent5">
                <a:lumMod val="20000"/>
                <a:lumOff val="80000"/>
              </a:schemeClr>
            </a:gs>
          </a:gsLst>
          <a:lin ang="5400000" scaled="1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48000">
          <a:schemeClr val="bg1"/>
        </a:gs>
        <a:gs pos="84000">
          <a:schemeClr val="accent5">
            <a:lumMod val="20000"/>
            <a:lumOff val="80000"/>
          </a:schemeClr>
        </a:gs>
        <a:gs pos="98000">
          <a:schemeClr val="accent5">
            <a:lumMod val="40000"/>
            <a:lumOff val="60000"/>
          </a:schemeClr>
        </a:gs>
      </a:gsLst>
      <a:lin ang="5400000" scaled="1"/>
    </a:gradFill>
    <a:ln w="9525" cap="flat" cmpd="sng" algn="ctr">
      <a:solidFill>
        <a:schemeClr val="accent1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0302588674418361"/>
          <c:y val="0.106481481481481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37647925588249"/>
          <c:y val="0.30210666375036455"/>
          <c:w val="0.75052094365397304"/>
          <c:h val="0.547538641003207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'Disposable Income Data'!$G$23</c:f>
              <c:strCache>
                <c:ptCount val="1"/>
                <c:pt idx="0">
                  <c:v>Banana Coffee Piggery LZ, Average Disposable Income per Adult Equivalent (UGX)</c:v>
                </c:pt>
              </c:strCache>
            </c:strRef>
          </c:tx>
          <c:spPr>
            <a:solidFill>
              <a:srgbClr val="64A7D7"/>
            </a:solidFill>
            <a:ln>
              <a:solidFill>
                <a:schemeClr val="bg2">
                  <a:lumMod val="90000"/>
                </a:schemeClr>
              </a:solidFill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cat>
            <c:strRef>
              <c:f>'Disposable Income Data'!$I$3:$I$5</c:f>
              <c:strCache>
                <c:ptCount val="3"/>
                <c:pt idx="0">
                  <c:v>Poor</c:v>
                </c:pt>
                <c:pt idx="1">
                  <c:v>Middle</c:v>
                </c:pt>
                <c:pt idx="2">
                  <c:v>Better Off</c:v>
                </c:pt>
              </c:strCache>
            </c:strRef>
          </c:cat>
          <c:val>
            <c:numRef>
              <c:f>'Disposable Income Data'!$O$3:$O$5</c:f>
              <c:numCache>
                <c:formatCode>0</c:formatCode>
                <c:ptCount val="3"/>
                <c:pt idx="0">
                  <c:v>474610.73684210528</c:v>
                </c:pt>
                <c:pt idx="1">
                  <c:v>2609530</c:v>
                </c:pt>
                <c:pt idx="2">
                  <c:v>790951.65217391308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41-5747-A0CC-B97E41995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91013680"/>
        <c:axId val="1182873056"/>
      </c:barChart>
      <c:catAx>
        <c:axId val="1091013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2873056"/>
        <c:crosses val="autoZero"/>
        <c:auto val="1"/>
        <c:lblAlgn val="ctr"/>
        <c:lblOffset val="100"/>
        <c:noMultiLvlLbl val="0"/>
      </c:catAx>
      <c:valAx>
        <c:axId val="118287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1013680"/>
        <c:crosses val="autoZero"/>
        <c:crossBetween val="between"/>
      </c:valAx>
      <c:spPr>
        <a:gradFill flip="none" rotWithShape="1">
          <a:gsLst>
            <a:gs pos="50000">
              <a:schemeClr val="bg1"/>
            </a:gs>
            <a:gs pos="94000">
              <a:schemeClr val="accent3">
                <a:lumMod val="20000"/>
                <a:lumOff val="80000"/>
              </a:schemeClr>
            </a:gs>
          </a:gsLst>
          <a:lin ang="5400000" scaled="1"/>
          <a:tileRect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55000">
          <a:schemeClr val="bg1"/>
        </a:gs>
        <a:gs pos="83000">
          <a:schemeClr val="accent3">
            <a:lumMod val="20000"/>
            <a:lumOff val="80000"/>
          </a:schemeClr>
        </a:gs>
        <a:gs pos="99000">
          <a:schemeClr val="accent3">
            <a:lumMod val="40000"/>
            <a:lumOff val="60000"/>
          </a:schemeClr>
        </a:gs>
      </a:gsLst>
      <a:lin ang="5400000" scaled="1"/>
      <a:tileRect/>
    </a:gradFill>
    <a:ln w="9525" cap="flat" cmpd="sng" algn="ctr">
      <a:solidFill>
        <a:schemeClr val="accent1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'Standard of Living'!$A$6</c:f>
          <c:strCache>
            <c:ptCount val="1"/>
            <c:pt idx="0">
              <c:v>Banana Coffee Piggery LZ, Disposable Income per Adult Equivalent (UGX)</c:v>
            </c:pt>
          </c:strCache>
        </c:strRef>
      </c:tx>
      <c:layout>
        <c:manualLayout>
          <c:xMode val="edge"/>
          <c:yMode val="edge"/>
          <c:x val="0.11930050912310659"/>
          <c:y val="3.63636363636363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61963149041599E-2"/>
          <c:y val="0.14024463923141683"/>
          <c:w val="0.69479486359328069"/>
          <c:h val="0.40870871093943445"/>
        </c:manualLayout>
      </c:layout>
      <c:barChart>
        <c:barDir val="col"/>
        <c:grouping val="clustered"/>
        <c:varyColors val="0"/>
        <c:ser>
          <c:idx val="2"/>
          <c:order val="0"/>
          <c:tx>
            <c:strRef>
              <c:f>'Standard of Living'!$K$1</c:f>
              <c:strCache>
                <c:ptCount val="1"/>
                <c:pt idx="0">
                  <c:v>DI perAE</c:v>
                </c:pt>
              </c:strCache>
            </c:strRef>
          </c:tx>
          <c:spPr>
            <a:solidFill>
              <a:srgbClr val="A9D18E"/>
            </a:solidFill>
            <a:ln>
              <a:noFill/>
            </a:ln>
            <a:effectLst/>
          </c:spPr>
          <c:invertIfNegative val="1"/>
          <c:cat>
            <c:multiLvlStrRef>
              <c:f>[0]!StoL_Base_Range</c:f>
              <c:multiLvlStrCache>
                <c:ptCount val="12"/>
                <c:lvl>
                  <c:pt idx="0">
                    <c:v>Poor</c:v>
                  </c:pt>
                  <c:pt idx="1">
                    <c:v>Middle</c:v>
                  </c:pt>
                  <c:pt idx="2">
                    <c:v>Better Off</c:v>
                  </c:pt>
                  <c:pt idx="3">
                    <c:v>Poor</c:v>
                  </c:pt>
                  <c:pt idx="4">
                    <c:v>Middle</c:v>
                  </c:pt>
                  <c:pt idx="5">
                    <c:v>Better Off</c:v>
                  </c:pt>
                  <c:pt idx="6">
                    <c:v>Poor</c:v>
                  </c:pt>
                  <c:pt idx="7">
                    <c:v>Middle</c:v>
                  </c:pt>
                  <c:pt idx="8">
                    <c:v>Better Off</c:v>
                  </c:pt>
                  <c:pt idx="9">
                    <c:v>Poor</c:v>
                  </c:pt>
                  <c:pt idx="10">
                    <c:v>Middle</c:v>
                  </c:pt>
                  <c:pt idx="11">
                    <c:v>Better Off</c:v>
                  </c:pt>
                </c:lvl>
                <c:lvl>
                  <c:pt idx="0">
                    <c:v>Mukono Butere</c:v>
                  </c:pt>
                  <c:pt idx="3">
                    <c:v>Mukono Lusera</c:v>
                  </c:pt>
                  <c:pt idx="6">
                    <c:v>Mukono Nakisunga</c:v>
                  </c:pt>
                  <c:pt idx="9">
                    <c:v>Mukono Ntenjeru</c:v>
                  </c:pt>
                </c:lvl>
              </c:multiLvlStrCache>
            </c:multiLvlStrRef>
          </c:cat>
          <c:val>
            <c:numRef>
              <c:f>[0]!StoL_DI_AE</c:f>
              <c:numCache>
                <c:formatCode>0</c:formatCode>
                <c:ptCount val="12"/>
                <c:pt idx="0">
                  <c:v>1233333.3333333333</c:v>
                </c:pt>
                <c:pt idx="1">
                  <c:v>3869114.2857142859</c:v>
                </c:pt>
                <c:pt idx="2">
                  <c:v>541000</c:v>
                </c:pt>
                <c:pt idx="3">
                  <c:v>373268</c:v>
                </c:pt>
                <c:pt idx="4">
                  <c:v>449632</c:v>
                </c:pt>
                <c:pt idx="5">
                  <c:v>1557.5</c:v>
                </c:pt>
                <c:pt idx="6">
                  <c:v>6560</c:v>
                </c:pt>
                <c:pt idx="7">
                  <c:v>1242592</c:v>
                </c:pt>
                <c:pt idx="8">
                  <c:v>0</c:v>
                </c:pt>
                <c:pt idx="9">
                  <c:v>93000</c:v>
                </c:pt>
                <c:pt idx="10">
                  <c:v>3869114.2857142859</c:v>
                </c:pt>
                <c:pt idx="11">
                  <c:v>1780184.2222222222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3857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16-83C7-304E-BDF8-46D881C0DEAD}"/>
            </c:ext>
          </c:extLst>
        </c:ser>
        <c:ser>
          <c:idx val="1"/>
          <c:order val="1"/>
          <c:tx>
            <c:strRef>
              <c:f>'Standard of Living'!$M$1</c:f>
              <c:strCache>
                <c:ptCount val="1"/>
                <c:pt idx="0">
                  <c:v>DI per AE after Survival Costs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cat>
            <c:multiLvlStrRef>
              <c:f>[0]!StoL_Base_Range</c:f>
              <c:multiLvlStrCache>
                <c:ptCount val="12"/>
                <c:lvl>
                  <c:pt idx="0">
                    <c:v>Poor</c:v>
                  </c:pt>
                  <c:pt idx="1">
                    <c:v>Middle</c:v>
                  </c:pt>
                  <c:pt idx="2">
                    <c:v>Better Off</c:v>
                  </c:pt>
                  <c:pt idx="3">
                    <c:v>Poor</c:v>
                  </c:pt>
                  <c:pt idx="4">
                    <c:v>Middle</c:v>
                  </c:pt>
                  <c:pt idx="5">
                    <c:v>Better Off</c:v>
                  </c:pt>
                  <c:pt idx="6">
                    <c:v>Poor</c:v>
                  </c:pt>
                  <c:pt idx="7">
                    <c:v>Middle</c:v>
                  </c:pt>
                  <c:pt idx="8">
                    <c:v>Better Off</c:v>
                  </c:pt>
                  <c:pt idx="9">
                    <c:v>Poor</c:v>
                  </c:pt>
                  <c:pt idx="10">
                    <c:v>Middle</c:v>
                  </c:pt>
                  <c:pt idx="11">
                    <c:v>Better Off</c:v>
                  </c:pt>
                </c:lvl>
                <c:lvl>
                  <c:pt idx="0">
                    <c:v>Mukono Butere</c:v>
                  </c:pt>
                  <c:pt idx="3">
                    <c:v>Mukono Lusera</c:v>
                  </c:pt>
                  <c:pt idx="6">
                    <c:v>Mukono Nakisunga</c:v>
                  </c:pt>
                  <c:pt idx="9">
                    <c:v>Mukono Ntenjeru</c:v>
                  </c:pt>
                </c:lvl>
              </c:multiLvlStrCache>
            </c:multiLvlStrRef>
          </c:cat>
          <c:val>
            <c:numRef>
              <c:f>[0]!StoL_Survival_AE</c:f>
              <c:numCache>
                <c:formatCode>0</c:formatCode>
                <c:ptCount val="12"/>
                <c:pt idx="0">
                  <c:v>1233333.3333333333</c:v>
                </c:pt>
                <c:pt idx="1">
                  <c:v>3869114.2857142859</c:v>
                </c:pt>
                <c:pt idx="2">
                  <c:v>541000</c:v>
                </c:pt>
                <c:pt idx="3">
                  <c:v>373268</c:v>
                </c:pt>
                <c:pt idx="4">
                  <c:v>449632</c:v>
                </c:pt>
                <c:pt idx="5">
                  <c:v>1557.5</c:v>
                </c:pt>
                <c:pt idx="6">
                  <c:v>6560</c:v>
                </c:pt>
                <c:pt idx="7">
                  <c:v>1242592</c:v>
                </c:pt>
                <c:pt idx="8">
                  <c:v>0</c:v>
                </c:pt>
                <c:pt idx="9">
                  <c:v>93000</c:v>
                </c:pt>
                <c:pt idx="10">
                  <c:v>3869114.2857142859</c:v>
                </c:pt>
                <c:pt idx="11">
                  <c:v>1780184.2222222222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843C0C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83C7-304E-BDF8-46D881C0DEAD}"/>
            </c:ext>
          </c:extLst>
        </c:ser>
        <c:ser>
          <c:idx val="0"/>
          <c:order val="2"/>
          <c:tx>
            <c:strRef>
              <c:f>'Standard of Living'!$L$1</c:f>
              <c:strCache>
                <c:ptCount val="1"/>
                <c:pt idx="0">
                  <c:v>DI per AE after Social Inclusion Costs</c:v>
                </c:pt>
              </c:strCache>
            </c:strRef>
          </c:tx>
          <c:spPr>
            <a:solidFill>
              <a:srgbClr val="8FAADC"/>
            </a:solidFill>
            <a:ln>
              <a:noFill/>
            </a:ln>
            <a:effectLst/>
          </c:spPr>
          <c:invertIfNegative val="1"/>
          <c:cat>
            <c:multiLvlStrRef>
              <c:f>[0]!StoL_Base_Range</c:f>
              <c:multiLvlStrCache>
                <c:ptCount val="12"/>
                <c:lvl>
                  <c:pt idx="0">
                    <c:v>Poor</c:v>
                  </c:pt>
                  <c:pt idx="1">
                    <c:v>Middle</c:v>
                  </c:pt>
                  <c:pt idx="2">
                    <c:v>Better Off</c:v>
                  </c:pt>
                  <c:pt idx="3">
                    <c:v>Poor</c:v>
                  </c:pt>
                  <c:pt idx="4">
                    <c:v>Middle</c:v>
                  </c:pt>
                  <c:pt idx="5">
                    <c:v>Better Off</c:v>
                  </c:pt>
                  <c:pt idx="6">
                    <c:v>Poor</c:v>
                  </c:pt>
                  <c:pt idx="7">
                    <c:v>Middle</c:v>
                  </c:pt>
                  <c:pt idx="8">
                    <c:v>Better Off</c:v>
                  </c:pt>
                  <c:pt idx="9">
                    <c:v>Poor</c:v>
                  </c:pt>
                  <c:pt idx="10">
                    <c:v>Middle</c:v>
                  </c:pt>
                  <c:pt idx="11">
                    <c:v>Better Off</c:v>
                  </c:pt>
                </c:lvl>
                <c:lvl>
                  <c:pt idx="0">
                    <c:v>Mukono Butere</c:v>
                  </c:pt>
                  <c:pt idx="3">
                    <c:v>Mukono Lusera</c:v>
                  </c:pt>
                  <c:pt idx="6">
                    <c:v>Mukono Nakisunga</c:v>
                  </c:pt>
                  <c:pt idx="9">
                    <c:v>Mukono Ntenjeru</c:v>
                  </c:pt>
                </c:lvl>
              </c:multiLvlStrCache>
            </c:multiLvlStrRef>
          </c:cat>
          <c:val>
            <c:numRef>
              <c:f>[0]!StoL_Soc_Incl_AE</c:f>
              <c:numCache>
                <c:formatCode>0</c:formatCode>
                <c:ptCount val="12"/>
                <c:pt idx="0">
                  <c:v>1233333.3333333333</c:v>
                </c:pt>
                <c:pt idx="1">
                  <c:v>3869114.2857142859</c:v>
                </c:pt>
                <c:pt idx="2">
                  <c:v>541000</c:v>
                </c:pt>
                <c:pt idx="3">
                  <c:v>373268</c:v>
                </c:pt>
                <c:pt idx="4">
                  <c:v>449632</c:v>
                </c:pt>
                <c:pt idx="5">
                  <c:v>1557.5</c:v>
                </c:pt>
                <c:pt idx="6">
                  <c:v>6560</c:v>
                </c:pt>
                <c:pt idx="7">
                  <c:v>1242592</c:v>
                </c:pt>
                <c:pt idx="8">
                  <c:v>0</c:v>
                </c:pt>
                <c:pt idx="9">
                  <c:v>93000</c:v>
                </c:pt>
                <c:pt idx="10">
                  <c:v>3869114.2857142859</c:v>
                </c:pt>
                <c:pt idx="11">
                  <c:v>1780184.2222222222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F5597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83C7-304E-BDF8-46D881C0DE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0450815"/>
        <c:axId val="460465407"/>
      </c:barChart>
      <c:catAx>
        <c:axId val="46045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2">
                <a:lumMod val="9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465407"/>
        <c:crosses val="autoZero"/>
        <c:auto val="1"/>
        <c:lblAlgn val="ctr"/>
        <c:lblOffset val="500"/>
        <c:noMultiLvlLbl val="0"/>
      </c:catAx>
      <c:valAx>
        <c:axId val="460465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alpha val="47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450815"/>
        <c:crosses val="autoZero"/>
        <c:crossBetween val="midCat"/>
      </c:valAx>
      <c:spPr>
        <a:noFill/>
        <a:ln>
          <a:solidFill>
            <a:schemeClr val="bg2">
              <a:alpha val="56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78940740468483495"/>
          <c:y val="0.22800995394443616"/>
          <c:w val="0.20952687601421652"/>
          <c:h val="0.193429653840439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25000">
          <a:schemeClr val="accent1">
            <a:lumMod val="5000"/>
            <a:lumOff val="95000"/>
          </a:schemeClr>
        </a:gs>
        <a:gs pos="57000">
          <a:schemeClr val="bg1">
            <a:lumMod val="95000"/>
          </a:schemeClr>
        </a:gs>
        <a:gs pos="99000">
          <a:schemeClr val="bg1">
            <a:lumMod val="85000"/>
          </a:schemeClr>
        </a:gs>
      </a:gsLst>
      <a:lin ang="540000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'Standard of Living'!$A$8</c:f>
          <c:strCache>
            <c:ptCount val="1"/>
            <c:pt idx="0">
              <c:v>Banana Coffee Piggery LZ, Disposable Income  (UGX)</c:v>
            </c:pt>
          </c:strCache>
        </c:strRef>
      </c:tx>
      <c:layout>
        <c:manualLayout>
          <c:xMode val="edge"/>
          <c:yMode val="edge"/>
          <c:x val="0.32461200264155088"/>
          <c:y val="5.8492088959099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9830397706310804E-2"/>
          <c:y val="0.15716101694915255"/>
          <c:w val="0.75756287915308018"/>
          <c:h val="0.36515118603904917"/>
        </c:manualLayout>
      </c:layout>
      <c:barChart>
        <c:barDir val="col"/>
        <c:grouping val="clustered"/>
        <c:varyColors val="0"/>
        <c:ser>
          <c:idx val="2"/>
          <c:order val="0"/>
          <c:tx>
            <c:strRef>
              <c:f>'Standard of Living'!$D$1</c:f>
              <c:strCache>
                <c:ptCount val="1"/>
                <c:pt idx="0">
                  <c:v>Disposable Income</c:v>
                </c:pt>
              </c:strCache>
            </c:strRef>
          </c:tx>
          <c:spPr>
            <a:solidFill>
              <a:srgbClr val="2F5597"/>
            </a:solidFill>
            <a:ln>
              <a:noFill/>
            </a:ln>
            <a:effectLst/>
          </c:spPr>
          <c:invertIfNegative val="1"/>
          <c:cat>
            <c:multiLvlStrRef>
              <c:f>[0]!StoL_Base_Range</c:f>
              <c:multiLvlStrCache>
                <c:ptCount val="12"/>
                <c:lvl>
                  <c:pt idx="0">
                    <c:v>Poor</c:v>
                  </c:pt>
                  <c:pt idx="1">
                    <c:v>Middle</c:v>
                  </c:pt>
                  <c:pt idx="2">
                    <c:v>Better Off</c:v>
                  </c:pt>
                  <c:pt idx="3">
                    <c:v>Poor</c:v>
                  </c:pt>
                  <c:pt idx="4">
                    <c:v>Middle</c:v>
                  </c:pt>
                  <c:pt idx="5">
                    <c:v>Better Off</c:v>
                  </c:pt>
                  <c:pt idx="6">
                    <c:v>Poor</c:v>
                  </c:pt>
                  <c:pt idx="7">
                    <c:v>Middle</c:v>
                  </c:pt>
                  <c:pt idx="8">
                    <c:v>Better Off</c:v>
                  </c:pt>
                  <c:pt idx="9">
                    <c:v>Poor</c:v>
                  </c:pt>
                  <c:pt idx="10">
                    <c:v>Middle</c:v>
                  </c:pt>
                  <c:pt idx="11">
                    <c:v>Better Off</c:v>
                  </c:pt>
                </c:lvl>
                <c:lvl>
                  <c:pt idx="0">
                    <c:v>Mukono Butere</c:v>
                  </c:pt>
                  <c:pt idx="3">
                    <c:v>Mukono Lusera</c:v>
                  </c:pt>
                  <c:pt idx="6">
                    <c:v>Mukono Nakisunga</c:v>
                  </c:pt>
                  <c:pt idx="9">
                    <c:v>Mukono Ntenjeru</c:v>
                  </c:pt>
                </c:lvl>
              </c:multiLvlStrCache>
            </c:multiLvlStrRef>
          </c:cat>
          <c:val>
            <c:numRef>
              <c:f>[0]!StoL_DI</c:f>
              <c:numCache>
                <c:formatCode>0</c:formatCode>
                <c:ptCount val="12"/>
                <c:pt idx="0">
                  <c:v>7400000</c:v>
                </c:pt>
                <c:pt idx="1">
                  <c:v>27083800</c:v>
                </c:pt>
                <c:pt idx="2">
                  <c:v>2164000</c:v>
                </c:pt>
                <c:pt idx="3">
                  <c:v>1119804</c:v>
                </c:pt>
                <c:pt idx="4">
                  <c:v>2248160</c:v>
                </c:pt>
                <c:pt idx="5">
                  <c:v>6230</c:v>
                </c:pt>
                <c:pt idx="6">
                  <c:v>32800</c:v>
                </c:pt>
                <c:pt idx="7">
                  <c:v>6212960</c:v>
                </c:pt>
                <c:pt idx="8">
                  <c:v>0</c:v>
                </c:pt>
                <c:pt idx="9">
                  <c:v>465000</c:v>
                </c:pt>
                <c:pt idx="10">
                  <c:v>27083800</c:v>
                </c:pt>
                <c:pt idx="11">
                  <c:v>16021658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DAE3F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7546-C24D-87AC-9EFBABAFC4D7}"/>
            </c:ext>
          </c:extLst>
        </c:ser>
        <c:ser>
          <c:idx val="1"/>
          <c:order val="1"/>
          <c:tx>
            <c:strRef>
              <c:f>'Standard of Living'!$I$1</c:f>
              <c:strCache>
                <c:ptCount val="1"/>
                <c:pt idx="0">
                  <c:v>DI after Survival Costs</c:v>
                </c:pt>
              </c:strCache>
            </c:strRef>
          </c:tx>
          <c:spPr>
            <a:solidFill>
              <a:srgbClr val="ED7D31"/>
            </a:solidFill>
            <a:ln>
              <a:noFill/>
            </a:ln>
            <a:effectLst/>
          </c:spPr>
          <c:invertIfNegative val="1"/>
          <c:cat>
            <c:multiLvlStrRef>
              <c:f>[0]!StoL_Base_Range</c:f>
              <c:multiLvlStrCache>
                <c:ptCount val="12"/>
                <c:lvl>
                  <c:pt idx="0">
                    <c:v>Poor</c:v>
                  </c:pt>
                  <c:pt idx="1">
                    <c:v>Middle</c:v>
                  </c:pt>
                  <c:pt idx="2">
                    <c:v>Better Off</c:v>
                  </c:pt>
                  <c:pt idx="3">
                    <c:v>Poor</c:v>
                  </c:pt>
                  <c:pt idx="4">
                    <c:v>Middle</c:v>
                  </c:pt>
                  <c:pt idx="5">
                    <c:v>Better Off</c:v>
                  </c:pt>
                  <c:pt idx="6">
                    <c:v>Poor</c:v>
                  </c:pt>
                  <c:pt idx="7">
                    <c:v>Middle</c:v>
                  </c:pt>
                  <c:pt idx="8">
                    <c:v>Better Off</c:v>
                  </c:pt>
                  <c:pt idx="9">
                    <c:v>Poor</c:v>
                  </c:pt>
                  <c:pt idx="10">
                    <c:v>Middle</c:v>
                  </c:pt>
                  <c:pt idx="11">
                    <c:v>Better Off</c:v>
                  </c:pt>
                </c:lvl>
                <c:lvl>
                  <c:pt idx="0">
                    <c:v>Mukono Butere</c:v>
                  </c:pt>
                  <c:pt idx="3">
                    <c:v>Mukono Lusera</c:v>
                  </c:pt>
                  <c:pt idx="6">
                    <c:v>Mukono Nakisunga</c:v>
                  </c:pt>
                  <c:pt idx="9">
                    <c:v>Mukono Ntenjeru</c:v>
                  </c:pt>
                </c:lvl>
              </c:multiLvlStrCache>
            </c:multiLvlStrRef>
          </c:cat>
          <c:val>
            <c:numRef>
              <c:f>[0]!StoL_Survival</c:f>
              <c:numCache>
                <c:formatCode>0</c:formatCode>
                <c:ptCount val="12"/>
                <c:pt idx="0">
                  <c:v>7400000</c:v>
                </c:pt>
                <c:pt idx="1">
                  <c:v>27083800</c:v>
                </c:pt>
                <c:pt idx="2">
                  <c:v>2164000</c:v>
                </c:pt>
                <c:pt idx="3">
                  <c:v>1119804</c:v>
                </c:pt>
                <c:pt idx="4">
                  <c:v>2248160</c:v>
                </c:pt>
                <c:pt idx="5">
                  <c:v>6230</c:v>
                </c:pt>
                <c:pt idx="6">
                  <c:v>32800</c:v>
                </c:pt>
                <c:pt idx="7">
                  <c:v>6212960</c:v>
                </c:pt>
                <c:pt idx="8">
                  <c:v>0</c:v>
                </c:pt>
                <c:pt idx="9">
                  <c:v>465000</c:v>
                </c:pt>
                <c:pt idx="10">
                  <c:v>27083800</c:v>
                </c:pt>
                <c:pt idx="11">
                  <c:v>16021658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546-C24D-87AC-9EFBABAFC4D7}"/>
            </c:ext>
          </c:extLst>
        </c:ser>
        <c:ser>
          <c:idx val="0"/>
          <c:order val="2"/>
          <c:tx>
            <c:strRef>
              <c:f>'Standard of Living'!$J$1</c:f>
              <c:strCache>
                <c:ptCount val="1"/>
                <c:pt idx="0">
                  <c:v>DI after Social Inclusion Costs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</c:spPr>
          <c:invertIfNegative val="1"/>
          <c:cat>
            <c:multiLvlStrRef>
              <c:f>[0]!StoL_Base_Range</c:f>
              <c:multiLvlStrCache>
                <c:ptCount val="12"/>
                <c:lvl>
                  <c:pt idx="0">
                    <c:v>Poor</c:v>
                  </c:pt>
                  <c:pt idx="1">
                    <c:v>Middle</c:v>
                  </c:pt>
                  <c:pt idx="2">
                    <c:v>Better Off</c:v>
                  </c:pt>
                  <c:pt idx="3">
                    <c:v>Poor</c:v>
                  </c:pt>
                  <c:pt idx="4">
                    <c:v>Middle</c:v>
                  </c:pt>
                  <c:pt idx="5">
                    <c:v>Better Off</c:v>
                  </c:pt>
                  <c:pt idx="6">
                    <c:v>Poor</c:v>
                  </c:pt>
                  <c:pt idx="7">
                    <c:v>Middle</c:v>
                  </c:pt>
                  <c:pt idx="8">
                    <c:v>Better Off</c:v>
                  </c:pt>
                  <c:pt idx="9">
                    <c:v>Poor</c:v>
                  </c:pt>
                  <c:pt idx="10">
                    <c:v>Middle</c:v>
                  </c:pt>
                  <c:pt idx="11">
                    <c:v>Better Off</c:v>
                  </c:pt>
                </c:lvl>
                <c:lvl>
                  <c:pt idx="0">
                    <c:v>Mukono Butere</c:v>
                  </c:pt>
                  <c:pt idx="3">
                    <c:v>Mukono Lusera</c:v>
                  </c:pt>
                  <c:pt idx="6">
                    <c:v>Mukono Nakisunga</c:v>
                  </c:pt>
                  <c:pt idx="9">
                    <c:v>Mukono Ntenjeru</c:v>
                  </c:pt>
                </c:lvl>
              </c:multiLvlStrCache>
            </c:multiLvlStrRef>
          </c:cat>
          <c:val>
            <c:numRef>
              <c:f>[0]!StoL_Soc_Incl</c:f>
              <c:numCache>
                <c:formatCode>0</c:formatCode>
                <c:ptCount val="12"/>
                <c:pt idx="0">
                  <c:v>7400000</c:v>
                </c:pt>
                <c:pt idx="1">
                  <c:v>27083800</c:v>
                </c:pt>
                <c:pt idx="2">
                  <c:v>2164000</c:v>
                </c:pt>
                <c:pt idx="3">
                  <c:v>1119804</c:v>
                </c:pt>
                <c:pt idx="4">
                  <c:v>2248160</c:v>
                </c:pt>
                <c:pt idx="5">
                  <c:v>6230</c:v>
                </c:pt>
                <c:pt idx="6">
                  <c:v>32800</c:v>
                </c:pt>
                <c:pt idx="7">
                  <c:v>6212960</c:v>
                </c:pt>
                <c:pt idx="8">
                  <c:v>0</c:v>
                </c:pt>
                <c:pt idx="9">
                  <c:v>465000</c:v>
                </c:pt>
                <c:pt idx="10">
                  <c:v>27083800</c:v>
                </c:pt>
                <c:pt idx="11">
                  <c:v>16021658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7546-C24D-87AC-9EFBABAFC4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0450815"/>
        <c:axId val="460465407"/>
      </c:barChart>
      <c:catAx>
        <c:axId val="46045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2">
                <a:lumMod val="9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465407"/>
        <c:crosses val="autoZero"/>
        <c:auto val="1"/>
        <c:lblAlgn val="ctr"/>
        <c:lblOffset val="800"/>
        <c:noMultiLvlLbl val="0"/>
      </c:catAx>
      <c:valAx>
        <c:axId val="460465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3">
                  <a:lumMod val="20000"/>
                  <a:lumOff val="80000"/>
                  <a:alpha val="62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450815"/>
        <c:crosses val="autoZero"/>
        <c:crossBetween val="between"/>
      </c:valAx>
      <c:spPr>
        <a:noFill/>
        <a:ln w="6350">
          <a:solidFill>
            <a:schemeClr val="accent3">
              <a:lumMod val="20000"/>
              <a:lumOff val="80000"/>
              <a:alpha val="61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84184061564160084"/>
          <c:y val="0.24209142744304296"/>
          <c:w val="0.15342154469539906"/>
          <c:h val="0.19282329128921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24000">
          <a:schemeClr val="accent1">
            <a:lumMod val="5000"/>
            <a:lumOff val="95000"/>
          </a:schemeClr>
        </a:gs>
        <a:gs pos="56000">
          <a:schemeClr val="accent1">
            <a:lumMod val="20000"/>
            <a:lumOff val="80000"/>
          </a:schemeClr>
        </a:gs>
        <a:gs pos="99000">
          <a:schemeClr val="accent1">
            <a:lumMod val="40000"/>
            <a:lumOff val="60000"/>
          </a:schemeClr>
        </a:gs>
      </a:gsLst>
      <a:lin ang="540000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'Standard of Living'!$A$14</c:f>
          <c:strCache>
            <c:ptCount val="1"/>
            <c:pt idx="0">
              <c:v>Banana Coffee Piggery LZ, Average Disposable Income  (UGX)</c:v>
            </c:pt>
          </c:strCache>
        </c:strRef>
      </c:tx>
      <c:layout>
        <c:manualLayout>
          <c:xMode val="edge"/>
          <c:yMode val="edge"/>
          <c:x val="0.23440795992989794"/>
          <c:y val="3.54758359683024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17030699330314"/>
          <c:y val="0.21147792706333973"/>
          <c:w val="0.61510231913809332"/>
          <c:h val="0.558592954191666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'Standard of Living'!$D$1</c:f>
              <c:strCache>
                <c:ptCount val="1"/>
                <c:pt idx="0">
                  <c:v>Disposable Income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'Standard of Living'!$C$3:$C$5</c:f>
              <c:strCache>
                <c:ptCount val="3"/>
                <c:pt idx="0">
                  <c:v>Poor</c:v>
                </c:pt>
                <c:pt idx="1">
                  <c:v>Middle</c:v>
                </c:pt>
                <c:pt idx="2">
                  <c:v>Better Off</c:v>
                </c:pt>
              </c:strCache>
            </c:strRef>
          </c:cat>
          <c:val>
            <c:numRef>
              <c:f>'Standard of Living'!$D$3:$D$5</c:f>
              <c:numCache>
                <c:formatCode>0</c:formatCode>
                <c:ptCount val="3"/>
                <c:pt idx="0">
                  <c:v>2254401</c:v>
                </c:pt>
                <c:pt idx="1">
                  <c:v>15657180</c:v>
                </c:pt>
                <c:pt idx="2">
                  <c:v>4547972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1-6B42-99D5-FF3C2A2AC99A}"/>
            </c:ext>
          </c:extLst>
        </c:ser>
        <c:ser>
          <c:idx val="2"/>
          <c:order val="1"/>
          <c:tx>
            <c:strRef>
              <c:f>'Standard of Living'!$I$1</c:f>
              <c:strCache>
                <c:ptCount val="1"/>
                <c:pt idx="0">
                  <c:v>DI after Survival Costs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'Standard of Living'!$C$3:$C$5</c:f>
              <c:strCache>
                <c:ptCount val="3"/>
                <c:pt idx="0">
                  <c:v>Poor</c:v>
                </c:pt>
                <c:pt idx="1">
                  <c:v>Middle</c:v>
                </c:pt>
                <c:pt idx="2">
                  <c:v>Better Off</c:v>
                </c:pt>
              </c:strCache>
            </c:strRef>
          </c:cat>
          <c:val>
            <c:numRef>
              <c:f>'Standard of Living'!$I$3:$I$5</c:f>
              <c:numCache>
                <c:formatCode>0</c:formatCode>
                <c:ptCount val="3"/>
                <c:pt idx="0">
                  <c:v>2254401</c:v>
                </c:pt>
                <c:pt idx="1">
                  <c:v>15657180</c:v>
                </c:pt>
                <c:pt idx="2">
                  <c:v>4547972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D1-6B42-99D5-FF3C2A2AC99A}"/>
            </c:ext>
          </c:extLst>
        </c:ser>
        <c:ser>
          <c:idx val="3"/>
          <c:order val="2"/>
          <c:tx>
            <c:strRef>
              <c:f>'Standard of Living'!$J$1</c:f>
              <c:strCache>
                <c:ptCount val="1"/>
                <c:pt idx="0">
                  <c:v>DI after Social Inclusion Costs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'Standard of Living'!$C$3:$C$5</c:f>
              <c:strCache>
                <c:ptCount val="3"/>
                <c:pt idx="0">
                  <c:v>Poor</c:v>
                </c:pt>
                <c:pt idx="1">
                  <c:v>Middle</c:v>
                </c:pt>
                <c:pt idx="2">
                  <c:v>Better Off</c:v>
                </c:pt>
              </c:strCache>
            </c:strRef>
          </c:cat>
          <c:val>
            <c:numRef>
              <c:f>'Standard of Living'!$J$3:$J$5</c:f>
              <c:numCache>
                <c:formatCode>0</c:formatCode>
                <c:ptCount val="3"/>
                <c:pt idx="0">
                  <c:v>2254401</c:v>
                </c:pt>
                <c:pt idx="1">
                  <c:v>15657180</c:v>
                </c:pt>
                <c:pt idx="2">
                  <c:v>4547972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4D1-6B42-99D5-FF3C2A2AC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0597151"/>
        <c:axId val="534242799"/>
      </c:barChart>
      <c:catAx>
        <c:axId val="5305971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242799"/>
        <c:crosses val="autoZero"/>
        <c:auto val="1"/>
        <c:lblAlgn val="ctr"/>
        <c:lblOffset val="300"/>
        <c:noMultiLvlLbl val="0"/>
      </c:catAx>
      <c:valAx>
        <c:axId val="53424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3">
                  <a:lumMod val="20000"/>
                  <a:lumOff val="80000"/>
                  <a:alpha val="67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5971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39062152326677"/>
          <c:y val="0.24169782519987301"/>
          <c:w val="0.20220099196807326"/>
          <c:h val="0.460941254704006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25000">
          <a:schemeClr val="bg1"/>
        </a:gs>
        <a:gs pos="57000">
          <a:schemeClr val="accent1">
            <a:lumMod val="20000"/>
            <a:lumOff val="80000"/>
          </a:schemeClr>
        </a:gs>
        <a:gs pos="100000">
          <a:schemeClr val="accent1">
            <a:lumMod val="40000"/>
            <a:lumOff val="60000"/>
            <a:alpha val="87000"/>
          </a:schemeClr>
        </a:gs>
      </a:gsLst>
      <a:lin ang="5400000" scaled="1"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'Standard of Living'!$A$11</c:f>
          <c:strCache>
            <c:ptCount val="1"/>
            <c:pt idx="0">
              <c:v>Banana Coffee Piggery LZ, Average Disposable Income per Adult Equivalent (UGX)</c:v>
            </c:pt>
          </c:strCache>
        </c:strRef>
      </c:tx>
      <c:layout>
        <c:manualLayout>
          <c:xMode val="edge"/>
          <c:yMode val="edge"/>
          <c:x val="0.11911569850487012"/>
          <c:y val="1.53550863723608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17030699330314"/>
          <c:y val="0.21147792706333973"/>
          <c:w val="0.61510231913809332"/>
          <c:h val="0.558592954191666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'Standard of Living'!$K$1</c:f>
              <c:strCache>
                <c:ptCount val="1"/>
                <c:pt idx="0">
                  <c:v>DI perAE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'Standard of Living'!$C$3:$C$5</c:f>
              <c:strCache>
                <c:ptCount val="3"/>
                <c:pt idx="0">
                  <c:v>Poor</c:v>
                </c:pt>
                <c:pt idx="1">
                  <c:v>Middle</c:v>
                </c:pt>
                <c:pt idx="2">
                  <c:v>Better Off</c:v>
                </c:pt>
              </c:strCache>
            </c:strRef>
          </c:cat>
          <c:val>
            <c:numRef>
              <c:f>'Standard of Living'!$K$3:$K$5</c:f>
              <c:numCache>
                <c:formatCode>0</c:formatCode>
                <c:ptCount val="3"/>
                <c:pt idx="0">
                  <c:v>474610.73684210528</c:v>
                </c:pt>
                <c:pt idx="1">
                  <c:v>2609530</c:v>
                </c:pt>
                <c:pt idx="2">
                  <c:v>790951.65217391308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A2-074F-B521-8E1EC1DEA924}"/>
            </c:ext>
          </c:extLst>
        </c:ser>
        <c:ser>
          <c:idx val="2"/>
          <c:order val="1"/>
          <c:tx>
            <c:strRef>
              <c:f>'Standard of Living'!$M$1</c:f>
              <c:strCache>
                <c:ptCount val="1"/>
                <c:pt idx="0">
                  <c:v>DI per AE after Survival Costs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'Standard of Living'!$C$3:$C$5</c:f>
              <c:strCache>
                <c:ptCount val="3"/>
                <c:pt idx="0">
                  <c:v>Poor</c:v>
                </c:pt>
                <c:pt idx="1">
                  <c:v>Middle</c:v>
                </c:pt>
                <c:pt idx="2">
                  <c:v>Better Off</c:v>
                </c:pt>
              </c:strCache>
            </c:strRef>
          </c:cat>
          <c:val>
            <c:numRef>
              <c:f>'Standard of Living'!$M$3:$M$5</c:f>
              <c:numCache>
                <c:formatCode>0</c:formatCode>
                <c:ptCount val="3"/>
                <c:pt idx="0">
                  <c:v>474610.73684210528</c:v>
                </c:pt>
                <c:pt idx="1">
                  <c:v>2609530</c:v>
                </c:pt>
                <c:pt idx="2">
                  <c:v>790951.65217391308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A2-074F-B521-8E1EC1DEA924}"/>
            </c:ext>
          </c:extLst>
        </c:ser>
        <c:ser>
          <c:idx val="3"/>
          <c:order val="2"/>
          <c:tx>
            <c:strRef>
              <c:f>'Standard of Living'!$L$1</c:f>
              <c:strCache>
                <c:ptCount val="1"/>
                <c:pt idx="0">
                  <c:v>DI per AE after Social Inclusion Costs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'Standard of Living'!$C$3:$C$5</c:f>
              <c:strCache>
                <c:ptCount val="3"/>
                <c:pt idx="0">
                  <c:v>Poor</c:v>
                </c:pt>
                <c:pt idx="1">
                  <c:v>Middle</c:v>
                </c:pt>
                <c:pt idx="2">
                  <c:v>Better Off</c:v>
                </c:pt>
              </c:strCache>
            </c:strRef>
          </c:cat>
          <c:val>
            <c:numRef>
              <c:f>'Standard of Living'!$L$3:$L$5</c:f>
              <c:numCache>
                <c:formatCode>0</c:formatCode>
                <c:ptCount val="3"/>
                <c:pt idx="0">
                  <c:v>474610.73684210528</c:v>
                </c:pt>
                <c:pt idx="1">
                  <c:v>2609530</c:v>
                </c:pt>
                <c:pt idx="2">
                  <c:v>790951.65217391308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A2-074F-B521-8E1EC1DE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0597151"/>
        <c:axId val="534242799"/>
      </c:barChart>
      <c:catAx>
        <c:axId val="5305971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242799"/>
        <c:crosses val="autoZero"/>
        <c:auto val="1"/>
        <c:lblAlgn val="ctr"/>
        <c:lblOffset val="300"/>
        <c:noMultiLvlLbl val="0"/>
      </c:catAx>
      <c:valAx>
        <c:axId val="53424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3">
                  <a:lumMod val="20000"/>
                  <a:lumOff val="80000"/>
                  <a:alpha val="67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5971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39062152326677"/>
          <c:y val="0.24169782519987301"/>
          <c:w val="0.20220099196807326"/>
          <c:h val="0.460941254704006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25000">
          <a:schemeClr val="bg1"/>
        </a:gs>
        <a:gs pos="56000">
          <a:schemeClr val="bg1">
            <a:lumMod val="95000"/>
          </a:schemeClr>
        </a:gs>
        <a:gs pos="99000">
          <a:schemeClr val="bg1">
            <a:lumMod val="85000"/>
          </a:schemeClr>
        </a:gs>
      </a:gsLst>
      <a:lin ang="5400000" scaled="1"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'Cash Income Data'!$A$9</c:f>
          <c:strCache>
            <c:ptCount val="1"/>
            <c:pt idx="0">
              <c:v>Banana Coffee Piggery LZ, Cash Income (UGX)</c:v>
            </c:pt>
          </c:strCache>
        </c:strRef>
      </c:tx>
      <c:layout>
        <c:manualLayout>
          <c:xMode val="edge"/>
          <c:yMode val="edge"/>
          <c:x val="0.28991140642303437"/>
          <c:y val="6.66666666666666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716823187799203E-2"/>
          <c:y val="0.21112564190345776"/>
          <c:w val="0.70543556322751577"/>
          <c:h val="0.37624162087652718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'Cash Income Data'!$D$1</c:f>
              <c:strCache>
                <c:ptCount val="1"/>
                <c:pt idx="0">
                  <c:v>Crop Cash Income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cat>
            <c:multiLvlStrRef>
              <c:f>[0]!CI_Base_Range</c:f>
              <c:multiLvlStrCache>
                <c:ptCount val="12"/>
                <c:lvl>
                  <c:pt idx="0">
                    <c:v>Poor</c:v>
                  </c:pt>
                  <c:pt idx="1">
                    <c:v>Middle</c:v>
                  </c:pt>
                  <c:pt idx="2">
                    <c:v>Better Off</c:v>
                  </c:pt>
                  <c:pt idx="3">
                    <c:v>Poor</c:v>
                  </c:pt>
                  <c:pt idx="4">
                    <c:v>Middle</c:v>
                  </c:pt>
                  <c:pt idx="5">
                    <c:v>Better Off</c:v>
                  </c:pt>
                  <c:pt idx="6">
                    <c:v>Poor</c:v>
                  </c:pt>
                  <c:pt idx="7">
                    <c:v>Middle</c:v>
                  </c:pt>
                  <c:pt idx="8">
                    <c:v>Better Off</c:v>
                  </c:pt>
                  <c:pt idx="9">
                    <c:v>Poor</c:v>
                  </c:pt>
                  <c:pt idx="10">
                    <c:v>Middle</c:v>
                  </c:pt>
                  <c:pt idx="11">
                    <c:v>Better Off</c:v>
                  </c:pt>
                </c:lvl>
                <c:lvl>
                  <c:pt idx="0">
                    <c:v>Mukono Butere</c:v>
                  </c:pt>
                  <c:pt idx="3">
                    <c:v>Mukono Lusera</c:v>
                  </c:pt>
                  <c:pt idx="6">
                    <c:v>Mukono Nakisunga</c:v>
                  </c:pt>
                  <c:pt idx="9">
                    <c:v>Mukono Ntenjeru</c:v>
                  </c:pt>
                </c:lvl>
              </c:multiLvlStrCache>
            </c:multiLvlStrRef>
          </c:cat>
          <c:val>
            <c:numRef>
              <c:f>[0]!CI_Crop_Cash_Values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1696000</c:v>
                </c:pt>
                <c:pt idx="3">
                  <c:v>849804</c:v>
                </c:pt>
                <c:pt idx="4">
                  <c:v>2178160</c:v>
                </c:pt>
                <c:pt idx="5">
                  <c:v>6230</c:v>
                </c:pt>
                <c:pt idx="6">
                  <c:v>2800</c:v>
                </c:pt>
                <c:pt idx="7">
                  <c:v>2538160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10926008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03-BD4D-9C2E-5F33EEB5AD47}"/>
            </c:ext>
          </c:extLst>
        </c:ser>
        <c:ser>
          <c:idx val="2"/>
          <c:order val="1"/>
          <c:tx>
            <c:strRef>
              <c:f>'Cash Income Data'!$E$1</c:f>
              <c:strCache>
                <c:ptCount val="1"/>
                <c:pt idx="0">
                  <c:v>Employment Cash Income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cat>
            <c:multiLvlStrRef>
              <c:f>[0]!CI_Base_Range</c:f>
              <c:multiLvlStrCache>
                <c:ptCount val="12"/>
                <c:lvl>
                  <c:pt idx="0">
                    <c:v>Poor</c:v>
                  </c:pt>
                  <c:pt idx="1">
                    <c:v>Middle</c:v>
                  </c:pt>
                  <c:pt idx="2">
                    <c:v>Better Off</c:v>
                  </c:pt>
                  <c:pt idx="3">
                    <c:v>Poor</c:v>
                  </c:pt>
                  <c:pt idx="4">
                    <c:v>Middle</c:v>
                  </c:pt>
                  <c:pt idx="5">
                    <c:v>Better Off</c:v>
                  </c:pt>
                  <c:pt idx="6">
                    <c:v>Poor</c:v>
                  </c:pt>
                  <c:pt idx="7">
                    <c:v>Middle</c:v>
                  </c:pt>
                  <c:pt idx="8">
                    <c:v>Better Off</c:v>
                  </c:pt>
                  <c:pt idx="9">
                    <c:v>Poor</c:v>
                  </c:pt>
                  <c:pt idx="10">
                    <c:v>Middle</c:v>
                  </c:pt>
                  <c:pt idx="11">
                    <c:v>Better Off</c:v>
                  </c:pt>
                </c:lvl>
                <c:lvl>
                  <c:pt idx="0">
                    <c:v>Mukono Butere</c:v>
                  </c:pt>
                  <c:pt idx="3">
                    <c:v>Mukono Lusera</c:v>
                  </c:pt>
                  <c:pt idx="6">
                    <c:v>Mukono Nakisunga</c:v>
                  </c:pt>
                  <c:pt idx="9">
                    <c:v>Mukono Ntenjeru</c:v>
                  </c:pt>
                </c:lvl>
              </c:multiLvlStrCache>
            </c:multiLvlStrRef>
          </c:cat>
          <c:val>
            <c:numRef>
              <c:f>[0]!CI_Empl_Cash_Values</c:f>
              <c:numCache>
                <c:formatCode>0</c:formatCode>
                <c:ptCount val="12"/>
                <c:pt idx="0">
                  <c:v>7400000</c:v>
                </c:pt>
                <c:pt idx="1">
                  <c:v>19468800</c:v>
                </c:pt>
                <c:pt idx="2">
                  <c:v>468000</c:v>
                </c:pt>
                <c:pt idx="3">
                  <c:v>270000</c:v>
                </c:pt>
                <c:pt idx="4">
                  <c:v>70000</c:v>
                </c:pt>
                <c:pt idx="5">
                  <c:v>0</c:v>
                </c:pt>
                <c:pt idx="6">
                  <c:v>30000</c:v>
                </c:pt>
                <c:pt idx="7">
                  <c:v>2974000</c:v>
                </c:pt>
                <c:pt idx="8">
                  <c:v>0</c:v>
                </c:pt>
                <c:pt idx="9">
                  <c:v>433000</c:v>
                </c:pt>
                <c:pt idx="10">
                  <c:v>19468800</c:v>
                </c:pt>
                <c:pt idx="11">
                  <c:v>4231650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03-BD4D-9C2E-5F33EEB5AD47}"/>
            </c:ext>
          </c:extLst>
        </c:ser>
        <c:ser>
          <c:idx val="3"/>
          <c:order val="2"/>
          <c:tx>
            <c:strRef>
              <c:f>'Cash Income Data'!$F$1</c:f>
              <c:strCache>
                <c:ptCount val="1"/>
                <c:pt idx="0">
                  <c:v>Livestock Cash Income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cat>
            <c:multiLvlStrRef>
              <c:f>[0]!CI_Base_Range</c:f>
              <c:multiLvlStrCache>
                <c:ptCount val="12"/>
                <c:lvl>
                  <c:pt idx="0">
                    <c:v>Poor</c:v>
                  </c:pt>
                  <c:pt idx="1">
                    <c:v>Middle</c:v>
                  </c:pt>
                  <c:pt idx="2">
                    <c:v>Better Off</c:v>
                  </c:pt>
                  <c:pt idx="3">
                    <c:v>Poor</c:v>
                  </c:pt>
                  <c:pt idx="4">
                    <c:v>Middle</c:v>
                  </c:pt>
                  <c:pt idx="5">
                    <c:v>Better Off</c:v>
                  </c:pt>
                  <c:pt idx="6">
                    <c:v>Poor</c:v>
                  </c:pt>
                  <c:pt idx="7">
                    <c:v>Middle</c:v>
                  </c:pt>
                  <c:pt idx="8">
                    <c:v>Better Off</c:v>
                  </c:pt>
                  <c:pt idx="9">
                    <c:v>Poor</c:v>
                  </c:pt>
                  <c:pt idx="10">
                    <c:v>Middle</c:v>
                  </c:pt>
                  <c:pt idx="11">
                    <c:v>Better Off</c:v>
                  </c:pt>
                </c:lvl>
                <c:lvl>
                  <c:pt idx="0">
                    <c:v>Mukono Butere</c:v>
                  </c:pt>
                  <c:pt idx="3">
                    <c:v>Mukono Lusera</c:v>
                  </c:pt>
                  <c:pt idx="6">
                    <c:v>Mukono Nakisunga</c:v>
                  </c:pt>
                  <c:pt idx="9">
                    <c:v>Mukono Ntenjeru</c:v>
                  </c:pt>
                </c:lvl>
              </c:multiLvlStrCache>
            </c:multiLvlStrRef>
          </c:cat>
          <c:val>
            <c:numRef>
              <c:f>[0]!CI_LStock_Cash_Values</c:f>
              <c:numCache>
                <c:formatCode>0</c:formatCode>
                <c:ptCount val="12"/>
                <c:pt idx="0">
                  <c:v>0</c:v>
                </c:pt>
                <c:pt idx="1">
                  <c:v>1490000</c:v>
                </c:pt>
                <c:pt idx="2">
                  <c:v>440000</c:v>
                </c:pt>
                <c:pt idx="3">
                  <c:v>30000</c:v>
                </c:pt>
                <c:pt idx="4">
                  <c:v>951000</c:v>
                </c:pt>
                <c:pt idx="5">
                  <c:v>2770000</c:v>
                </c:pt>
                <c:pt idx="6">
                  <c:v>951000</c:v>
                </c:pt>
                <c:pt idx="7">
                  <c:v>4190800</c:v>
                </c:pt>
                <c:pt idx="8">
                  <c:v>8690000</c:v>
                </c:pt>
                <c:pt idx="9">
                  <c:v>0</c:v>
                </c:pt>
                <c:pt idx="10">
                  <c:v>1490000</c:v>
                </c:pt>
                <c:pt idx="11">
                  <c:v>1484000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03-BD4D-9C2E-5F33EEB5AD47}"/>
            </c:ext>
          </c:extLst>
        </c:ser>
        <c:ser>
          <c:idx val="4"/>
          <c:order val="3"/>
          <c:tx>
            <c:strRef>
              <c:f>'Cash Income Data'!$G$1</c:f>
              <c:strCache>
                <c:ptCount val="1"/>
                <c:pt idx="0">
                  <c:v>Transfer Cash Income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cat>
            <c:multiLvlStrRef>
              <c:f>[0]!CI_Base_Range</c:f>
              <c:multiLvlStrCache>
                <c:ptCount val="12"/>
                <c:lvl>
                  <c:pt idx="0">
                    <c:v>Poor</c:v>
                  </c:pt>
                  <c:pt idx="1">
                    <c:v>Middle</c:v>
                  </c:pt>
                  <c:pt idx="2">
                    <c:v>Better Off</c:v>
                  </c:pt>
                  <c:pt idx="3">
                    <c:v>Poor</c:v>
                  </c:pt>
                  <c:pt idx="4">
                    <c:v>Middle</c:v>
                  </c:pt>
                  <c:pt idx="5">
                    <c:v>Better Off</c:v>
                  </c:pt>
                  <c:pt idx="6">
                    <c:v>Poor</c:v>
                  </c:pt>
                  <c:pt idx="7">
                    <c:v>Middle</c:v>
                  </c:pt>
                  <c:pt idx="8">
                    <c:v>Better Off</c:v>
                  </c:pt>
                  <c:pt idx="9">
                    <c:v>Poor</c:v>
                  </c:pt>
                  <c:pt idx="10">
                    <c:v>Middle</c:v>
                  </c:pt>
                  <c:pt idx="11">
                    <c:v>Better Off</c:v>
                  </c:pt>
                </c:lvl>
                <c:lvl>
                  <c:pt idx="0">
                    <c:v>Mukono Butere</c:v>
                  </c:pt>
                  <c:pt idx="3">
                    <c:v>Mukono Lusera</c:v>
                  </c:pt>
                  <c:pt idx="6">
                    <c:v>Mukono Nakisunga</c:v>
                  </c:pt>
                  <c:pt idx="9">
                    <c:v>Mukono Ntenjeru</c:v>
                  </c:pt>
                </c:lvl>
              </c:multiLvlStrCache>
            </c:multiLvlStrRef>
          </c:cat>
          <c:val>
            <c:numRef>
              <c:f>[0]!CI_Xfer_Cash_Values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600000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03-BD4D-9C2E-5F33EEB5AD47}"/>
            </c:ext>
          </c:extLst>
        </c:ser>
        <c:ser>
          <c:idx val="5"/>
          <c:order val="4"/>
          <c:tx>
            <c:strRef>
              <c:f>'Cash Income Data'!$H$1</c:f>
              <c:strCache>
                <c:ptCount val="1"/>
                <c:pt idx="0">
                  <c:v>Wildfood Cash Income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[0]!CI_Base_Range</c:f>
              <c:multiLvlStrCache>
                <c:ptCount val="12"/>
                <c:lvl>
                  <c:pt idx="0">
                    <c:v>Poor</c:v>
                  </c:pt>
                  <c:pt idx="1">
                    <c:v>Middle</c:v>
                  </c:pt>
                  <c:pt idx="2">
                    <c:v>Better Off</c:v>
                  </c:pt>
                  <c:pt idx="3">
                    <c:v>Poor</c:v>
                  </c:pt>
                  <c:pt idx="4">
                    <c:v>Middle</c:v>
                  </c:pt>
                  <c:pt idx="5">
                    <c:v>Better Off</c:v>
                  </c:pt>
                  <c:pt idx="6">
                    <c:v>Poor</c:v>
                  </c:pt>
                  <c:pt idx="7">
                    <c:v>Middle</c:v>
                  </c:pt>
                  <c:pt idx="8">
                    <c:v>Better Off</c:v>
                  </c:pt>
                  <c:pt idx="9">
                    <c:v>Poor</c:v>
                  </c:pt>
                  <c:pt idx="10">
                    <c:v>Middle</c:v>
                  </c:pt>
                  <c:pt idx="11">
                    <c:v>Better Off</c:v>
                  </c:pt>
                </c:lvl>
                <c:lvl>
                  <c:pt idx="0">
                    <c:v>Mukono Butere</c:v>
                  </c:pt>
                  <c:pt idx="3">
                    <c:v>Mukono Lusera</c:v>
                  </c:pt>
                  <c:pt idx="6">
                    <c:v>Mukono Nakisunga</c:v>
                  </c:pt>
                  <c:pt idx="9">
                    <c:v>Mukono Ntenjeru</c:v>
                  </c:pt>
                </c:lvl>
              </c:multiLvlStrCache>
            </c:multiLvlStrRef>
          </c:cat>
          <c:val>
            <c:numRef>
              <c:f>[0]!CI_Wild_Cash_Values</c:f>
              <c:numCache>
                <c:formatCode>0</c:formatCode>
                <c:ptCount val="12"/>
                <c:pt idx="0">
                  <c:v>0</c:v>
                </c:pt>
                <c:pt idx="1">
                  <c:v>7125000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32000</c:v>
                </c:pt>
                <c:pt idx="10">
                  <c:v>7125000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03-BD4D-9C2E-5F33EEB5A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0"/>
        <c:overlap val="100"/>
        <c:axId val="1184496864"/>
        <c:axId val="1254670192"/>
      </c:barChart>
      <c:catAx>
        <c:axId val="1184496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0"/>
          <a:lstStyle/>
          <a:p>
            <a:pPr>
              <a:defRPr sz="14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4670192"/>
        <c:crosses val="autoZero"/>
        <c:auto val="1"/>
        <c:lblAlgn val="ctr"/>
        <c:lblOffset val="300"/>
        <c:noMultiLvlLbl val="0"/>
      </c:catAx>
      <c:valAx>
        <c:axId val="1254670192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lumMod val="7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4496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59055118110223"/>
          <c:y val="0.20672235535775418"/>
          <c:w val="0.18776493054647239"/>
          <c:h val="0.332159077941344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bg1"/>
        </a:gs>
        <a:gs pos="83000">
          <a:schemeClr val="tx2">
            <a:lumMod val="20000"/>
            <a:lumOff val="80000"/>
          </a:schemeClr>
        </a:gs>
        <a:gs pos="99000">
          <a:schemeClr val="accent1">
            <a:lumMod val="20000"/>
            <a:lumOff val="80000"/>
          </a:schemeClr>
        </a:gs>
      </a:gsLst>
      <a:lin ang="5400000" scaled="1"/>
    </a:gradFill>
    <a:ln w="12700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'Cash Income Data'!$A$6</c:f>
          <c:strCache>
            <c:ptCount val="1"/>
            <c:pt idx="0">
              <c:v>Banana Coffee Piggery LZ, Average Cash Income (UGX)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68815804734719"/>
          <c:y val="0.26430555555555557"/>
          <c:w val="0.63529424785757205"/>
          <c:h val="0.43732174103237098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'Cash Income Data'!$D$1</c:f>
              <c:strCache>
                <c:ptCount val="1"/>
                <c:pt idx="0">
                  <c:v>Crop Cash Income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'Cash Income Data'!$C$3:$C$5</c:f>
              <c:strCache>
                <c:ptCount val="3"/>
                <c:pt idx="0">
                  <c:v>Poor</c:v>
                </c:pt>
                <c:pt idx="1">
                  <c:v>Middle</c:v>
                </c:pt>
                <c:pt idx="2">
                  <c:v>Better Off</c:v>
                </c:pt>
              </c:strCache>
            </c:strRef>
          </c:cat>
          <c:val>
            <c:numRef>
              <c:f>'Cash Income Data'!$D$3:$D$5</c:f>
              <c:numCache>
                <c:formatCode>0</c:formatCode>
                <c:ptCount val="3"/>
                <c:pt idx="0">
                  <c:v>213151</c:v>
                </c:pt>
                <c:pt idx="1">
                  <c:v>1179080</c:v>
                </c:pt>
                <c:pt idx="2">
                  <c:v>3157059.5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EA-6E40-B7A2-056A0EE3E420}"/>
            </c:ext>
          </c:extLst>
        </c:ser>
        <c:ser>
          <c:idx val="2"/>
          <c:order val="1"/>
          <c:tx>
            <c:strRef>
              <c:f>'Cash Income Data'!$E$1</c:f>
              <c:strCache>
                <c:ptCount val="1"/>
                <c:pt idx="0">
                  <c:v>Employment Cash Income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'Cash Income Data'!$C$3:$C$5</c:f>
              <c:strCache>
                <c:ptCount val="3"/>
                <c:pt idx="0">
                  <c:v>Poor</c:v>
                </c:pt>
                <c:pt idx="1">
                  <c:v>Middle</c:v>
                </c:pt>
                <c:pt idx="2">
                  <c:v>Better Off</c:v>
                </c:pt>
              </c:strCache>
            </c:strRef>
          </c:cat>
          <c:val>
            <c:numRef>
              <c:f>'Cash Income Data'!$E$3:$E$5</c:f>
              <c:numCache>
                <c:formatCode>0</c:formatCode>
                <c:ptCount val="3"/>
                <c:pt idx="0">
                  <c:v>2033250</c:v>
                </c:pt>
                <c:pt idx="1">
                  <c:v>10495400</c:v>
                </c:pt>
                <c:pt idx="2">
                  <c:v>1174912.5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EA-6E40-B7A2-056A0EE3E420}"/>
            </c:ext>
          </c:extLst>
        </c:ser>
        <c:ser>
          <c:idx val="3"/>
          <c:order val="2"/>
          <c:tx>
            <c:strRef>
              <c:f>'Cash Income Data'!$F$1</c:f>
              <c:strCache>
                <c:ptCount val="1"/>
                <c:pt idx="0">
                  <c:v>Livestock Cash Income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'Cash Income Data'!$C$3:$C$5</c:f>
              <c:strCache>
                <c:ptCount val="3"/>
                <c:pt idx="0">
                  <c:v>Poor</c:v>
                </c:pt>
                <c:pt idx="1">
                  <c:v>Middle</c:v>
                </c:pt>
                <c:pt idx="2">
                  <c:v>Better Off</c:v>
                </c:pt>
              </c:strCache>
            </c:strRef>
          </c:cat>
          <c:val>
            <c:numRef>
              <c:f>'Cash Income Data'!$F$3:$F$5</c:f>
              <c:numCache>
                <c:formatCode>0</c:formatCode>
                <c:ptCount val="3"/>
                <c:pt idx="0">
                  <c:v>245250</c:v>
                </c:pt>
                <c:pt idx="1">
                  <c:v>2030450</c:v>
                </c:pt>
                <c:pt idx="2">
                  <c:v>3346000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EA-6E40-B7A2-056A0EE3E420}"/>
            </c:ext>
          </c:extLst>
        </c:ser>
        <c:ser>
          <c:idx val="0"/>
          <c:order val="3"/>
          <c:tx>
            <c:strRef>
              <c:f>'Cash Income Data'!$G$1</c:f>
              <c:strCache>
                <c:ptCount val="1"/>
                <c:pt idx="0">
                  <c:v>Transfer Cash Income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'Cash Income Data'!$C$3:$C$5</c:f>
              <c:strCache>
                <c:ptCount val="3"/>
                <c:pt idx="0">
                  <c:v>Poor</c:v>
                </c:pt>
                <c:pt idx="1">
                  <c:v>Middle</c:v>
                </c:pt>
                <c:pt idx="2">
                  <c:v>Better Off</c:v>
                </c:pt>
              </c:strCache>
            </c:strRef>
          </c:cat>
          <c:val>
            <c:numRef>
              <c:f>'Cash Income Data'!$G$3:$G$5</c:f>
              <c:numCache>
                <c:formatCode>0</c:formatCode>
                <c:ptCount val="3"/>
                <c:pt idx="0">
                  <c:v>0</c:v>
                </c:pt>
                <c:pt idx="1">
                  <c:v>150000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EA-6E40-B7A2-056A0EE3E420}"/>
            </c:ext>
          </c:extLst>
        </c:ser>
        <c:ser>
          <c:idx val="4"/>
          <c:order val="4"/>
          <c:tx>
            <c:strRef>
              <c:f>'Cash Income Data'!$H$1</c:f>
              <c:strCache>
                <c:ptCount val="1"/>
                <c:pt idx="0">
                  <c:v>Wildfood Cash Income</c:v>
                </c:pt>
              </c:strCache>
            </c:strRef>
          </c:tx>
          <c:spPr>
            <a:solidFill>
              <a:srgbClr val="FFA099"/>
            </a:solidFill>
            <a:ln>
              <a:noFill/>
            </a:ln>
            <a:effectLst/>
          </c:spPr>
          <c:invertIfNegative val="0"/>
          <c:cat>
            <c:strRef>
              <c:f>'Cash Income Data'!$C$3:$C$5</c:f>
              <c:strCache>
                <c:ptCount val="3"/>
                <c:pt idx="0">
                  <c:v>Poor</c:v>
                </c:pt>
                <c:pt idx="1">
                  <c:v>Middle</c:v>
                </c:pt>
                <c:pt idx="2">
                  <c:v>Better Off</c:v>
                </c:pt>
              </c:strCache>
            </c:strRef>
          </c:cat>
          <c:val>
            <c:numRef>
              <c:f>'Cash Income Data'!$H$3:$H$5</c:f>
              <c:numCache>
                <c:formatCode>0</c:formatCode>
                <c:ptCount val="3"/>
                <c:pt idx="0">
                  <c:v>8000</c:v>
                </c:pt>
                <c:pt idx="1">
                  <c:v>3562500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EA-6E40-B7A2-056A0EE3E4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2313535"/>
        <c:axId val="881161455"/>
      </c:barChart>
      <c:catAx>
        <c:axId val="832313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1161455"/>
        <c:crosses val="autoZero"/>
        <c:auto val="1"/>
        <c:lblAlgn val="ctr"/>
        <c:lblOffset val="100"/>
        <c:noMultiLvlLbl val="0"/>
      </c:catAx>
      <c:valAx>
        <c:axId val="881161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2313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243553230150651"/>
          <c:y val="0.24933872849227184"/>
          <c:w val="0.23756446769849349"/>
          <c:h val="0.474619058034412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bg1"/>
        </a:gs>
        <a:gs pos="66000">
          <a:schemeClr val="bg2"/>
        </a:gs>
        <a:gs pos="98000">
          <a:schemeClr val="bg2">
            <a:lumMod val="90000"/>
          </a:schemeClr>
        </a:gs>
      </a:gsLst>
      <a:lin ang="5400000" scaled="1"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'Food Income Data'!$A$12</c:f>
          <c:strCache>
            <c:ptCount val="1"/>
            <c:pt idx="0">
              <c:v>Banana Coffee Piggery LZ, Food Income</c:v>
            </c:pt>
          </c:strCache>
        </c:strRef>
      </c:tx>
      <c:layout>
        <c:manualLayout>
          <c:xMode val="edge"/>
          <c:yMode val="edge"/>
          <c:x val="0.31228687062972088"/>
          <c:y val="4.494382022471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76279778004849"/>
          <c:y val="0.17122179952225072"/>
          <c:w val="0.63791378654004127"/>
          <c:h val="0.49672343625586129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'Food Income Data'!$D$1</c:f>
              <c:strCache>
                <c:ptCount val="1"/>
                <c:pt idx="0">
                  <c:v>Crop Food Income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[0]!FI_Base_Range</c:f>
              <c:multiLvlStrCache>
                <c:ptCount val="12"/>
                <c:lvl>
                  <c:pt idx="0">
                    <c:v>Poor</c:v>
                  </c:pt>
                  <c:pt idx="1">
                    <c:v>Middle</c:v>
                  </c:pt>
                  <c:pt idx="2">
                    <c:v>Better Off</c:v>
                  </c:pt>
                  <c:pt idx="3">
                    <c:v>Poor</c:v>
                  </c:pt>
                  <c:pt idx="4">
                    <c:v>Middle</c:v>
                  </c:pt>
                  <c:pt idx="5">
                    <c:v>Better Off</c:v>
                  </c:pt>
                  <c:pt idx="6">
                    <c:v>Poor</c:v>
                  </c:pt>
                  <c:pt idx="7">
                    <c:v>Middle</c:v>
                  </c:pt>
                  <c:pt idx="8">
                    <c:v>Better Off</c:v>
                  </c:pt>
                  <c:pt idx="9">
                    <c:v>Poor</c:v>
                  </c:pt>
                  <c:pt idx="10">
                    <c:v>Middle</c:v>
                  </c:pt>
                  <c:pt idx="11">
                    <c:v>Better Off</c:v>
                  </c:pt>
                </c:lvl>
                <c:lvl>
                  <c:pt idx="0">
                    <c:v>Mukono Butere</c:v>
                  </c:pt>
                  <c:pt idx="3">
                    <c:v>Mukono Lusera</c:v>
                  </c:pt>
                  <c:pt idx="6">
                    <c:v>Mukono Nakisunga</c:v>
                  </c:pt>
                  <c:pt idx="9">
                    <c:v>Mukono Ntenjeru</c:v>
                  </c:pt>
                </c:lvl>
              </c:multiLvlStrCache>
            </c:multiLvlStrRef>
          </c:cat>
          <c:val>
            <c:numRef>
              <c:f>[0]!FI_Crop_Food_income</c:f>
              <c:numCache>
                <c:formatCode>0</c:formatCode>
                <c:ptCount val="12"/>
                <c:pt idx="0">
                  <c:v>7345608</c:v>
                </c:pt>
                <c:pt idx="1">
                  <c:v>0</c:v>
                </c:pt>
                <c:pt idx="2">
                  <c:v>8140076</c:v>
                </c:pt>
                <c:pt idx="3">
                  <c:v>2686896</c:v>
                </c:pt>
                <c:pt idx="4">
                  <c:v>3675860</c:v>
                </c:pt>
                <c:pt idx="5">
                  <c:v>2936550</c:v>
                </c:pt>
                <c:pt idx="6">
                  <c:v>2463100</c:v>
                </c:pt>
                <c:pt idx="7">
                  <c:v>5565160</c:v>
                </c:pt>
                <c:pt idx="8">
                  <c:v>4111380</c:v>
                </c:pt>
                <c:pt idx="9">
                  <c:v>0</c:v>
                </c:pt>
                <c:pt idx="10">
                  <c:v>0</c:v>
                </c:pt>
                <c:pt idx="11">
                  <c:v>4023280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EE-854D-B432-04DB7B702603}"/>
            </c:ext>
          </c:extLst>
        </c:ser>
        <c:ser>
          <c:idx val="3"/>
          <c:order val="1"/>
          <c:tx>
            <c:strRef>
              <c:f>'Food Income Data'!$E$1</c:f>
              <c:strCache>
                <c:ptCount val="1"/>
                <c:pt idx="0">
                  <c:v>Employment Food Income</c:v>
                </c:pt>
              </c:strCache>
            </c:strRef>
          </c:tx>
          <c:spPr>
            <a:solidFill>
              <a:srgbClr val="FFF096"/>
            </a:solidFill>
            <a:ln>
              <a:noFill/>
            </a:ln>
            <a:effectLst/>
          </c:spPr>
          <c:invertIfNegative val="0"/>
          <c:cat>
            <c:multiLvlStrRef>
              <c:f>[0]!FI_Base_Range</c:f>
              <c:multiLvlStrCache>
                <c:ptCount val="12"/>
                <c:lvl>
                  <c:pt idx="0">
                    <c:v>Poor</c:v>
                  </c:pt>
                  <c:pt idx="1">
                    <c:v>Middle</c:v>
                  </c:pt>
                  <c:pt idx="2">
                    <c:v>Better Off</c:v>
                  </c:pt>
                  <c:pt idx="3">
                    <c:v>Poor</c:v>
                  </c:pt>
                  <c:pt idx="4">
                    <c:v>Middle</c:v>
                  </c:pt>
                  <c:pt idx="5">
                    <c:v>Better Off</c:v>
                  </c:pt>
                  <c:pt idx="6">
                    <c:v>Poor</c:v>
                  </c:pt>
                  <c:pt idx="7">
                    <c:v>Middle</c:v>
                  </c:pt>
                  <c:pt idx="8">
                    <c:v>Better Off</c:v>
                  </c:pt>
                  <c:pt idx="9">
                    <c:v>Poor</c:v>
                  </c:pt>
                  <c:pt idx="10">
                    <c:v>Middle</c:v>
                  </c:pt>
                  <c:pt idx="11">
                    <c:v>Better Off</c:v>
                  </c:pt>
                </c:lvl>
                <c:lvl>
                  <c:pt idx="0">
                    <c:v>Mukono Butere</c:v>
                  </c:pt>
                  <c:pt idx="3">
                    <c:v>Mukono Lusera</c:v>
                  </c:pt>
                  <c:pt idx="6">
                    <c:v>Mukono Nakisunga</c:v>
                  </c:pt>
                  <c:pt idx="9">
                    <c:v>Mukono Ntenjeru</c:v>
                  </c:pt>
                </c:lvl>
              </c:multiLvlStrCache>
            </c:multiLvlStrRef>
          </c:cat>
          <c:val>
            <c:numRef>
              <c:f>[0]!FI_Empl_Food_income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EE-854D-B432-04DB7B702603}"/>
            </c:ext>
          </c:extLst>
        </c:ser>
        <c:ser>
          <c:idx val="4"/>
          <c:order val="2"/>
          <c:tx>
            <c:strRef>
              <c:f>'Food Income Data'!$F$1</c:f>
              <c:strCache>
                <c:ptCount val="1"/>
                <c:pt idx="0">
                  <c:v>Livestock Food Income</c:v>
                </c:pt>
              </c:strCache>
            </c:strRef>
          </c:tx>
          <c:spPr>
            <a:solidFill>
              <a:srgbClr val="FF8276"/>
            </a:solidFill>
            <a:ln>
              <a:noFill/>
            </a:ln>
            <a:effectLst/>
          </c:spPr>
          <c:invertIfNegative val="0"/>
          <c:cat>
            <c:multiLvlStrRef>
              <c:f>[0]!FI_Base_Range</c:f>
              <c:multiLvlStrCache>
                <c:ptCount val="12"/>
                <c:lvl>
                  <c:pt idx="0">
                    <c:v>Poor</c:v>
                  </c:pt>
                  <c:pt idx="1">
                    <c:v>Middle</c:v>
                  </c:pt>
                  <c:pt idx="2">
                    <c:v>Better Off</c:v>
                  </c:pt>
                  <c:pt idx="3">
                    <c:v>Poor</c:v>
                  </c:pt>
                  <c:pt idx="4">
                    <c:v>Middle</c:v>
                  </c:pt>
                  <c:pt idx="5">
                    <c:v>Better Off</c:v>
                  </c:pt>
                  <c:pt idx="6">
                    <c:v>Poor</c:v>
                  </c:pt>
                  <c:pt idx="7">
                    <c:v>Middle</c:v>
                  </c:pt>
                  <c:pt idx="8">
                    <c:v>Better Off</c:v>
                  </c:pt>
                  <c:pt idx="9">
                    <c:v>Poor</c:v>
                  </c:pt>
                  <c:pt idx="10">
                    <c:v>Middle</c:v>
                  </c:pt>
                  <c:pt idx="11">
                    <c:v>Better Off</c:v>
                  </c:pt>
                </c:lvl>
                <c:lvl>
                  <c:pt idx="0">
                    <c:v>Mukono Butere</c:v>
                  </c:pt>
                  <c:pt idx="3">
                    <c:v>Mukono Lusera</c:v>
                  </c:pt>
                  <c:pt idx="6">
                    <c:v>Mukono Nakisunga</c:v>
                  </c:pt>
                  <c:pt idx="9">
                    <c:v>Mukono Ntenjeru</c:v>
                  </c:pt>
                </c:lvl>
              </c:multiLvlStrCache>
            </c:multiLvlStrRef>
          </c:cat>
          <c:val>
            <c:numRef>
              <c:f>[0]!FI_LStock_Food_income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89600</c:v>
                </c:pt>
                <c:pt idx="11">
                  <c:v>460800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EE-854D-B432-04DB7B702603}"/>
            </c:ext>
          </c:extLst>
        </c:ser>
        <c:ser>
          <c:idx val="5"/>
          <c:order val="3"/>
          <c:tx>
            <c:strRef>
              <c:f>'Food Income Data'!$G$1</c:f>
              <c:strCache>
                <c:ptCount val="1"/>
                <c:pt idx="0">
                  <c:v>Transfer Food Income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[0]!FI_Base_Range</c:f>
              <c:multiLvlStrCache>
                <c:ptCount val="12"/>
                <c:lvl>
                  <c:pt idx="0">
                    <c:v>Poor</c:v>
                  </c:pt>
                  <c:pt idx="1">
                    <c:v>Middle</c:v>
                  </c:pt>
                  <c:pt idx="2">
                    <c:v>Better Off</c:v>
                  </c:pt>
                  <c:pt idx="3">
                    <c:v>Poor</c:v>
                  </c:pt>
                  <c:pt idx="4">
                    <c:v>Middle</c:v>
                  </c:pt>
                  <c:pt idx="5">
                    <c:v>Better Off</c:v>
                  </c:pt>
                  <c:pt idx="6">
                    <c:v>Poor</c:v>
                  </c:pt>
                  <c:pt idx="7">
                    <c:v>Middle</c:v>
                  </c:pt>
                  <c:pt idx="8">
                    <c:v>Better Off</c:v>
                  </c:pt>
                  <c:pt idx="9">
                    <c:v>Poor</c:v>
                  </c:pt>
                  <c:pt idx="10">
                    <c:v>Middle</c:v>
                  </c:pt>
                  <c:pt idx="11">
                    <c:v>Better Off</c:v>
                  </c:pt>
                </c:lvl>
                <c:lvl>
                  <c:pt idx="0">
                    <c:v>Mukono Butere</c:v>
                  </c:pt>
                  <c:pt idx="3">
                    <c:v>Mukono Lusera</c:v>
                  </c:pt>
                  <c:pt idx="6">
                    <c:v>Mukono Nakisunga</c:v>
                  </c:pt>
                  <c:pt idx="9">
                    <c:v>Mukono Ntenjeru</c:v>
                  </c:pt>
                </c:lvl>
              </c:multiLvlStrCache>
            </c:multiLvlStrRef>
          </c:cat>
          <c:val>
            <c:numRef>
              <c:f>[0]!FI_Xfer_Food_income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9EE-854D-B432-04DB7B702603}"/>
            </c:ext>
          </c:extLst>
        </c:ser>
        <c:ser>
          <c:idx val="0"/>
          <c:order val="4"/>
          <c:tx>
            <c:strRef>
              <c:f>'Food Income Data'!$H$1</c:f>
              <c:strCache>
                <c:ptCount val="1"/>
                <c:pt idx="0">
                  <c:v>Wildfood Food Income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[0]!FI_Base_Range</c:f>
              <c:multiLvlStrCache>
                <c:ptCount val="12"/>
                <c:lvl>
                  <c:pt idx="0">
                    <c:v>Poor</c:v>
                  </c:pt>
                  <c:pt idx="1">
                    <c:v>Middle</c:v>
                  </c:pt>
                  <c:pt idx="2">
                    <c:v>Better Off</c:v>
                  </c:pt>
                  <c:pt idx="3">
                    <c:v>Poor</c:v>
                  </c:pt>
                  <c:pt idx="4">
                    <c:v>Middle</c:v>
                  </c:pt>
                  <c:pt idx="5">
                    <c:v>Better Off</c:v>
                  </c:pt>
                  <c:pt idx="6">
                    <c:v>Poor</c:v>
                  </c:pt>
                  <c:pt idx="7">
                    <c:v>Middle</c:v>
                  </c:pt>
                  <c:pt idx="8">
                    <c:v>Better Off</c:v>
                  </c:pt>
                  <c:pt idx="9">
                    <c:v>Poor</c:v>
                  </c:pt>
                  <c:pt idx="10">
                    <c:v>Middle</c:v>
                  </c:pt>
                  <c:pt idx="11">
                    <c:v>Better Off</c:v>
                  </c:pt>
                </c:lvl>
                <c:lvl>
                  <c:pt idx="0">
                    <c:v>Mukono Butere</c:v>
                  </c:pt>
                  <c:pt idx="3">
                    <c:v>Mukono Lusera</c:v>
                  </c:pt>
                  <c:pt idx="6">
                    <c:v>Mukono Nakisunga</c:v>
                  </c:pt>
                  <c:pt idx="9">
                    <c:v>Mukono Ntenjeru</c:v>
                  </c:pt>
                </c:lvl>
              </c:multiLvlStrCache>
            </c:multiLvlStrRef>
          </c:cat>
          <c:val>
            <c:numRef>
              <c:f>[0]!FI_Wild_Food_income</c:f>
              <c:numCache>
                <c:formatCode>0</c:formatCode>
                <c:ptCount val="12"/>
                <c:pt idx="0">
                  <c:v>0</c:v>
                </c:pt>
                <c:pt idx="1">
                  <c:v>490200</c:v>
                </c:pt>
                <c:pt idx="2">
                  <c:v>144000</c:v>
                </c:pt>
                <c:pt idx="3">
                  <c:v>0</c:v>
                </c:pt>
                <c:pt idx="4">
                  <c:v>1616760</c:v>
                </c:pt>
                <c:pt idx="5">
                  <c:v>25920</c:v>
                </c:pt>
                <c:pt idx="6">
                  <c:v>1616760</c:v>
                </c:pt>
                <c:pt idx="7">
                  <c:v>1374660</c:v>
                </c:pt>
                <c:pt idx="8">
                  <c:v>0</c:v>
                </c:pt>
                <c:pt idx="9">
                  <c:v>96480</c:v>
                </c:pt>
                <c:pt idx="10">
                  <c:v>433520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9EE-854D-B432-04DB7B702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0"/>
        <c:overlap val="100"/>
        <c:axId val="1184496864"/>
        <c:axId val="1254670192"/>
      </c:barChart>
      <c:catAx>
        <c:axId val="1184496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4670192"/>
        <c:crosses val="autoZero"/>
        <c:auto val="1"/>
        <c:lblAlgn val="ctr"/>
        <c:lblOffset val="100"/>
        <c:noMultiLvlLbl val="0"/>
      </c:catAx>
      <c:valAx>
        <c:axId val="1254670192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lumMod val="7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4496864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.76703341948668635"/>
          <c:y val="0.17249314341325311"/>
          <c:w val="0.21769940494079462"/>
          <c:h val="0.321895735645403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bg1"/>
        </a:gs>
        <a:gs pos="83000">
          <a:schemeClr val="tx2">
            <a:lumMod val="20000"/>
            <a:lumOff val="80000"/>
          </a:schemeClr>
        </a:gs>
        <a:gs pos="99000">
          <a:schemeClr val="accent1">
            <a:lumMod val="20000"/>
            <a:lumOff val="80000"/>
          </a:schemeClr>
        </a:gs>
      </a:gsLst>
      <a:lin ang="5400000" scaled="1"/>
    </a:gradFill>
    <a:ln w="12700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'Food Income Data'!$A$15</c:f>
          <c:strCache>
            <c:ptCount val="1"/>
            <c:pt idx="0">
              <c:v>Banana Coffee Piggery LZ, Average Food Income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471697843577176"/>
          <c:y val="0.17171296296296296"/>
          <c:w val="0.58093873701359011"/>
          <c:h val="0.615053587051618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'Food Income Data'!$D$1</c:f>
              <c:strCache>
                <c:ptCount val="1"/>
                <c:pt idx="0">
                  <c:v>Crop Food Income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'Food Income Data'!$C$3:$C$5</c:f>
              <c:strCache>
                <c:ptCount val="3"/>
                <c:pt idx="0">
                  <c:v>Poor</c:v>
                </c:pt>
                <c:pt idx="1">
                  <c:v>Middle</c:v>
                </c:pt>
                <c:pt idx="2">
                  <c:v>Better Off</c:v>
                </c:pt>
              </c:strCache>
            </c:strRef>
          </c:cat>
          <c:val>
            <c:numRef>
              <c:f>'Food Income Data'!$D$3:$D$5</c:f>
              <c:numCache>
                <c:formatCode>0</c:formatCode>
                <c:ptCount val="3"/>
                <c:pt idx="0">
                  <c:v>3123901</c:v>
                </c:pt>
                <c:pt idx="1">
                  <c:v>2310255</c:v>
                </c:pt>
                <c:pt idx="2">
                  <c:v>4802821.5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79-E345-B411-BBE4763BDE5C}"/>
            </c:ext>
          </c:extLst>
        </c:ser>
        <c:ser>
          <c:idx val="1"/>
          <c:order val="1"/>
          <c:tx>
            <c:strRef>
              <c:f>'Food Income Data'!$E$1</c:f>
              <c:strCache>
                <c:ptCount val="1"/>
                <c:pt idx="0">
                  <c:v>Employment Food Income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'Food Income Data'!$C$3:$C$5</c:f>
              <c:strCache>
                <c:ptCount val="3"/>
                <c:pt idx="0">
                  <c:v>Poor</c:v>
                </c:pt>
                <c:pt idx="1">
                  <c:v>Middle</c:v>
                </c:pt>
                <c:pt idx="2">
                  <c:v>Better Off</c:v>
                </c:pt>
              </c:strCache>
            </c:strRef>
          </c:cat>
          <c:val>
            <c:numRef>
              <c:f>'Food Income Data'!$E$3:$E$5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79-E345-B411-BBE4763BDE5C}"/>
            </c:ext>
          </c:extLst>
        </c:ser>
        <c:ser>
          <c:idx val="2"/>
          <c:order val="2"/>
          <c:tx>
            <c:strRef>
              <c:f>'Food Income Data'!$F$1</c:f>
              <c:strCache>
                <c:ptCount val="1"/>
                <c:pt idx="0">
                  <c:v>Livestock Food Income</c:v>
                </c:pt>
              </c:strCache>
            </c:strRef>
          </c:tx>
          <c:spPr>
            <a:solidFill>
              <a:srgbClr val="FFA099"/>
            </a:solidFill>
            <a:ln>
              <a:noFill/>
            </a:ln>
            <a:effectLst/>
          </c:spPr>
          <c:invertIfNegative val="0"/>
          <c:cat>
            <c:strRef>
              <c:f>'Food Income Data'!$C$3:$C$5</c:f>
              <c:strCache>
                <c:ptCount val="3"/>
                <c:pt idx="0">
                  <c:v>Poor</c:v>
                </c:pt>
                <c:pt idx="1">
                  <c:v>Middle</c:v>
                </c:pt>
                <c:pt idx="2">
                  <c:v>Better Off</c:v>
                </c:pt>
              </c:strCache>
            </c:strRef>
          </c:cat>
          <c:val>
            <c:numRef>
              <c:f>'Food Income Data'!$F$3:$F$5</c:f>
              <c:numCache>
                <c:formatCode>0</c:formatCode>
                <c:ptCount val="3"/>
                <c:pt idx="0">
                  <c:v>0</c:v>
                </c:pt>
                <c:pt idx="1">
                  <c:v>22400</c:v>
                </c:pt>
                <c:pt idx="2">
                  <c:v>115200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79-E345-B411-BBE4763BDE5C}"/>
            </c:ext>
          </c:extLst>
        </c:ser>
        <c:ser>
          <c:idx val="3"/>
          <c:order val="3"/>
          <c:tx>
            <c:strRef>
              <c:f>'Food Income Data'!$G$1</c:f>
              <c:strCache>
                <c:ptCount val="1"/>
                <c:pt idx="0">
                  <c:v>Transfer Food Income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'Food Income Data'!$C$3:$C$5</c:f>
              <c:strCache>
                <c:ptCount val="3"/>
                <c:pt idx="0">
                  <c:v>Poor</c:v>
                </c:pt>
                <c:pt idx="1">
                  <c:v>Middle</c:v>
                </c:pt>
                <c:pt idx="2">
                  <c:v>Better Off</c:v>
                </c:pt>
              </c:strCache>
            </c:strRef>
          </c:cat>
          <c:val>
            <c:numRef>
              <c:f>'Food Income Data'!$G$3:$G$5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F79-E345-B411-BBE4763BDE5C}"/>
            </c:ext>
          </c:extLst>
        </c:ser>
        <c:ser>
          <c:idx val="4"/>
          <c:order val="4"/>
          <c:tx>
            <c:strRef>
              <c:f>'Food Income Data'!$H$1</c:f>
              <c:strCache>
                <c:ptCount val="1"/>
                <c:pt idx="0">
                  <c:v>Wildfood Food Income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'Food Income Data'!$C$3:$C$5</c:f>
              <c:strCache>
                <c:ptCount val="3"/>
                <c:pt idx="0">
                  <c:v>Poor</c:v>
                </c:pt>
                <c:pt idx="1">
                  <c:v>Middle</c:v>
                </c:pt>
                <c:pt idx="2">
                  <c:v>Better Off</c:v>
                </c:pt>
              </c:strCache>
            </c:strRef>
          </c:cat>
          <c:val>
            <c:numRef>
              <c:f>'Food Income Data'!$H$3:$H$5</c:f>
              <c:numCache>
                <c:formatCode>0</c:formatCode>
                <c:ptCount val="3"/>
                <c:pt idx="0">
                  <c:v>428310</c:v>
                </c:pt>
                <c:pt idx="1">
                  <c:v>978785</c:v>
                </c:pt>
                <c:pt idx="2">
                  <c:v>42480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F79-E345-B411-BBE4763BD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5248879"/>
        <c:axId val="100412687"/>
      </c:barChart>
      <c:catAx>
        <c:axId val="1052488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12687"/>
        <c:crosses val="autoZero"/>
        <c:auto val="1"/>
        <c:lblAlgn val="ctr"/>
        <c:lblOffset val="300"/>
        <c:noMultiLvlLbl val="0"/>
      </c:catAx>
      <c:valAx>
        <c:axId val="100412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248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74663875944078417"/>
          <c:y val="0.17063502478856807"/>
          <c:w val="0.25336124726695913"/>
          <c:h val="0.65980424321959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bg1"/>
        </a:gs>
        <a:gs pos="82000">
          <a:schemeClr val="accent3">
            <a:lumMod val="20000"/>
            <a:lumOff val="80000"/>
          </a:schemeClr>
        </a:gs>
        <a:gs pos="98000">
          <a:schemeClr val="accent3">
            <a:lumMod val="20000"/>
            <a:lumOff val="80000"/>
          </a:schemeClr>
        </a:gs>
      </a:gsLst>
      <a:lin ang="5400000" scaled="1"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'Land Assets'!$A$18</c:f>
          <c:strCache>
            <c:ptCount val="1"/>
            <c:pt idx="0">
              <c:v>Banana Coffee Piggery LZ, Land Assets (Acres)</c:v>
            </c:pt>
          </c:strCache>
        </c:strRef>
      </c:tx>
      <c:layout>
        <c:manualLayout>
          <c:xMode val="edge"/>
          <c:yMode val="edge"/>
          <c:x val="0.30366938958042711"/>
          <c:y val="3.694581280788177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4502508349121506E-2"/>
          <c:y val="0.13079376220033778"/>
          <c:w val="0.79939609790248289"/>
          <c:h val="0.4486744113882316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 Assets'!$E$6</c:f>
              <c:strCache>
                <c:ptCount val="1"/>
                <c:pt idx="0">
                  <c:v>Upland</c:v>
                </c:pt>
              </c:strCache>
            </c:strRef>
          </c:tx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'Land Assets'!$D$7:$D$18</c:f>
              <c:strCache>
                <c:ptCount val="12"/>
                <c:pt idx="0">
                  <c:v>Poor</c:v>
                </c:pt>
                <c:pt idx="1">
                  <c:v>Middle      Mukono Butere</c:v>
                </c:pt>
                <c:pt idx="2">
                  <c:v>Better Off</c:v>
                </c:pt>
                <c:pt idx="3">
                  <c:v>Poor</c:v>
                </c:pt>
                <c:pt idx="4">
                  <c:v>Middle      Mukono Lusera</c:v>
                </c:pt>
                <c:pt idx="5">
                  <c:v>Better Off</c:v>
                </c:pt>
                <c:pt idx="6">
                  <c:v>Poor</c:v>
                </c:pt>
                <c:pt idx="7">
                  <c:v>Middle      Mukono Nakisunga</c:v>
                </c:pt>
                <c:pt idx="8">
                  <c:v>Better Off</c:v>
                </c:pt>
                <c:pt idx="9">
                  <c:v>Poor</c:v>
                </c:pt>
                <c:pt idx="10">
                  <c:v>Middle      Mukono Ntenjeru</c:v>
                </c:pt>
                <c:pt idx="11">
                  <c:v>Better Off</c:v>
                </c:pt>
              </c:strCache>
            </c:strRef>
          </c:cat>
          <c:val>
            <c:numRef>
              <c:f>'Land Assets'!$E$7:$E$18</c:f>
              <c:numCache>
                <c:formatCode>0.0</c:formatCode>
                <c:ptCount val="12"/>
                <c:pt idx="0">
                  <c:v>0.5</c:v>
                </c:pt>
                <c:pt idx="1">
                  <c:v>10</c:v>
                </c:pt>
                <c:pt idx="2">
                  <c:v>1</c:v>
                </c:pt>
                <c:pt idx="3">
                  <c:v>1</c:v>
                </c:pt>
                <c:pt idx="4">
                  <c:v>0.5</c:v>
                </c:pt>
                <c:pt idx="5">
                  <c:v>8</c:v>
                </c:pt>
                <c:pt idx="6">
                  <c:v>0.5</c:v>
                </c:pt>
                <c:pt idx="7">
                  <c:v>3</c:v>
                </c:pt>
                <c:pt idx="8">
                  <c:v>7</c:v>
                </c:pt>
                <c:pt idx="9">
                  <c:v>0</c:v>
                </c:pt>
                <c:pt idx="10">
                  <c:v>10</c:v>
                </c:pt>
                <c:pt idx="1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EC-7E45-A231-347EC309A899}"/>
            </c:ext>
          </c:extLst>
        </c:ser>
        <c:ser>
          <c:idx val="1"/>
          <c:order val="1"/>
          <c:tx>
            <c:strRef>
              <c:f>'Land Assets'!$F$6</c:f>
              <c:strCache>
                <c:ptCount val="1"/>
                <c:pt idx="0">
                  <c:v>Wetland</c:v>
                </c:pt>
              </c:strCache>
            </c:strRef>
          </c:tx>
          <c:spPr>
            <a:solidFill>
              <a:schemeClr val="accent5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'Land Assets'!$D$7:$D$18</c:f>
              <c:strCache>
                <c:ptCount val="12"/>
                <c:pt idx="0">
                  <c:v>Poor</c:v>
                </c:pt>
                <c:pt idx="1">
                  <c:v>Middle      Mukono Butere</c:v>
                </c:pt>
                <c:pt idx="2">
                  <c:v>Better Off</c:v>
                </c:pt>
                <c:pt idx="3">
                  <c:v>Poor</c:v>
                </c:pt>
                <c:pt idx="4">
                  <c:v>Middle      Mukono Lusera</c:v>
                </c:pt>
                <c:pt idx="5">
                  <c:v>Better Off</c:v>
                </c:pt>
                <c:pt idx="6">
                  <c:v>Poor</c:v>
                </c:pt>
                <c:pt idx="7">
                  <c:v>Middle      Mukono Nakisunga</c:v>
                </c:pt>
                <c:pt idx="8">
                  <c:v>Better Off</c:v>
                </c:pt>
                <c:pt idx="9">
                  <c:v>Poor</c:v>
                </c:pt>
                <c:pt idx="10">
                  <c:v>Middle      Mukono Ntenjeru</c:v>
                </c:pt>
                <c:pt idx="11">
                  <c:v>Better Off</c:v>
                </c:pt>
              </c:strCache>
            </c:strRef>
          </c:cat>
          <c:val>
            <c:numRef>
              <c:f>'Land Assets'!$F$7:$F$18</c:f>
              <c:numCache>
                <c:formatCode>0.0</c:formatCode>
                <c:ptCount val="12"/>
                <c:pt idx="0">
                  <c:v>7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D8-BE49-B793-3C7E72CC36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0"/>
        <c:overlap val="100"/>
        <c:axId val="290611519"/>
        <c:axId val="346055007"/>
      </c:barChart>
      <c:catAx>
        <c:axId val="290611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noFill/>
            <a:round/>
          </a:ln>
          <a:effectLst/>
        </c:spPr>
        <c:txPr>
          <a:bodyPr rot="2700000" spcFirstLastPara="1" vertOverflow="ellipsis" wrap="square" anchor="b" anchorCtr="0"/>
          <a:lstStyle/>
          <a:p>
            <a:pPr>
              <a:defRPr sz="1200" b="0" i="0" u="none" strike="noStrike" kern="1200" cap="all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055007"/>
        <c:crosses val="autoZero"/>
        <c:auto val="1"/>
        <c:lblAlgn val="ctr"/>
        <c:lblOffset val="100"/>
        <c:noMultiLvlLbl val="0"/>
      </c:catAx>
      <c:valAx>
        <c:axId val="34605500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accent1">
                  <a:lumMod val="75000"/>
                  <a:alpha val="10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6115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0680454285721823"/>
          <c:y val="0.13600713703890463"/>
          <c:w val="6.6973424860424249E-2"/>
          <c:h val="0.11290136146774757"/>
        </c:manualLayout>
      </c:layout>
      <c:overlay val="0"/>
      <c:spPr>
        <a:noFill/>
        <a:ln cmpd="dbl">
          <a:solidFill>
            <a:schemeClr val="accent1">
              <a:lumMod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9000">
          <a:schemeClr val="accent1">
            <a:lumMod val="0"/>
            <a:lumOff val="100000"/>
          </a:schemeClr>
        </a:gs>
        <a:gs pos="56000">
          <a:schemeClr val="accent1">
            <a:lumMod val="20000"/>
            <a:lumOff val="80000"/>
          </a:schemeClr>
        </a:gs>
        <a:gs pos="99000">
          <a:schemeClr val="accent1">
            <a:lumMod val="40000"/>
            <a:lumOff val="60000"/>
            <a:alpha val="78000"/>
          </a:schemeClr>
        </a:gs>
      </a:gsLst>
      <a:lin ang="5400000" scaled="0"/>
      <a:tileRect/>
    </a:gradFill>
    <a:ln w="9525" cap="flat" cmpd="sng" algn="ctr">
      <a:solidFill>
        <a:schemeClr val="accent1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'Land Assets'!$A$21</c:f>
          <c:strCache>
            <c:ptCount val="1"/>
            <c:pt idx="0">
              <c:v>Banana Coffee Piggery LZ, Average Land Assets (Acres)</c:v>
            </c:pt>
          </c:strCache>
        </c:strRef>
      </c:tx>
      <c:layout>
        <c:manualLayout>
          <c:xMode val="edge"/>
          <c:yMode val="edge"/>
          <c:x val="0.13892470840248108"/>
          <c:y val="6.49350649350649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607194633161827"/>
          <c:y val="0.25594948358727887"/>
          <c:w val="0.67751940077887374"/>
          <c:h val="0.5408409176125711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 Assets'!$E$2</c:f>
              <c:strCache>
                <c:ptCount val="1"/>
                <c:pt idx="0">
                  <c:v>Upland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'Land Assets'!$D$3:$D$5</c:f>
              <c:strCache>
                <c:ptCount val="3"/>
                <c:pt idx="0">
                  <c:v>Poor</c:v>
                </c:pt>
                <c:pt idx="1">
                  <c:v>Middle</c:v>
                </c:pt>
                <c:pt idx="2">
                  <c:v>Better Off</c:v>
                </c:pt>
              </c:strCache>
            </c:strRef>
          </c:cat>
          <c:val>
            <c:numRef>
              <c:f>'Land Assets'!$E$3:$E$5</c:f>
              <c:numCache>
                <c:formatCode>0.0</c:formatCode>
                <c:ptCount val="3"/>
                <c:pt idx="0">
                  <c:v>0.5</c:v>
                </c:pt>
                <c:pt idx="1">
                  <c:v>5.875</c:v>
                </c:pt>
                <c:pt idx="2">
                  <c:v>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8E-8748-98D2-D0202974B6AD}"/>
            </c:ext>
          </c:extLst>
        </c:ser>
        <c:ser>
          <c:idx val="1"/>
          <c:order val="1"/>
          <c:tx>
            <c:strRef>
              <c:f>'Land Assets'!$F$2</c:f>
              <c:strCache>
                <c:ptCount val="1"/>
                <c:pt idx="0">
                  <c:v>Wetland</c:v>
                </c:pt>
              </c:strCache>
            </c:strRef>
          </c:tx>
          <c:spPr>
            <a:solidFill>
              <a:schemeClr val="accent5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'Land Assets'!$D$3:$D$5</c:f>
              <c:strCache>
                <c:ptCount val="3"/>
                <c:pt idx="0">
                  <c:v>Poor</c:v>
                </c:pt>
                <c:pt idx="1">
                  <c:v>Middle</c:v>
                </c:pt>
                <c:pt idx="2">
                  <c:v>Better Off</c:v>
                </c:pt>
              </c:strCache>
            </c:strRef>
          </c:cat>
          <c:val>
            <c:numRef>
              <c:f>'Land Assets'!$F$3:$F$5</c:f>
              <c:numCache>
                <c:formatCode>0.0</c:formatCode>
                <c:ptCount val="3"/>
                <c:pt idx="0">
                  <c:v>1.75</c:v>
                </c:pt>
                <c:pt idx="1">
                  <c:v>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2-2E49-9AF0-260EDF361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0"/>
        <c:overlap val="100"/>
        <c:axId val="290611519"/>
        <c:axId val="346055007"/>
      </c:barChart>
      <c:catAx>
        <c:axId val="290611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cap="all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055007"/>
        <c:crosses val="autoZero"/>
        <c:auto val="1"/>
        <c:lblAlgn val="ctr"/>
        <c:lblOffset val="500"/>
        <c:noMultiLvlLbl val="0"/>
      </c:catAx>
      <c:valAx>
        <c:axId val="34605500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accent1">
                  <a:lumMod val="75000"/>
                  <a:alpha val="10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6115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85289519315501"/>
          <c:y val="0.30323720898524043"/>
          <c:w val="0.11986526684164479"/>
          <c:h val="0.19843269591301088"/>
        </c:manualLayout>
      </c:layout>
      <c:overlay val="0"/>
      <c:spPr>
        <a:noFill/>
        <a:ln cmpd="dbl">
          <a:solidFill>
            <a:schemeClr val="accent1">
              <a:lumMod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1">
            <a:lumMod val="0"/>
            <a:lumOff val="100000"/>
          </a:schemeClr>
        </a:gs>
        <a:gs pos="50000">
          <a:schemeClr val="accent1">
            <a:lumMod val="0"/>
            <a:lumOff val="100000"/>
          </a:schemeClr>
        </a:gs>
        <a:gs pos="98000">
          <a:schemeClr val="accent3">
            <a:lumMod val="40000"/>
            <a:lumOff val="60000"/>
          </a:schemeClr>
        </a:gs>
      </a:gsLst>
      <a:lin ang="5400000" scaled="0"/>
      <a:tileRect/>
    </a:gradFill>
    <a:ln w="9525" cap="flat" cmpd="sng" algn="ctr">
      <a:solidFill>
        <a:schemeClr val="accent1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'LiveStock Assets'!$A$18</c:f>
          <c:strCache>
            <c:ptCount val="1"/>
            <c:pt idx="0">
              <c:v>Banana Coffee Piggery LZ, LIvestock Assets</c:v>
            </c:pt>
          </c:strCache>
        </c:strRef>
      </c:tx>
      <c:layout>
        <c:manualLayout>
          <c:xMode val="edge"/>
          <c:yMode val="edge"/>
          <c:x val="0.37438377105449533"/>
          <c:y val="2.92275574112734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908536148924446E-2"/>
          <c:y val="0.11486631016042781"/>
          <c:w val="0.67918720814175626"/>
          <c:h val="0.509365943983029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'LiveStock Assets'!$E$6</c:f>
              <c:strCache>
                <c:ptCount val="1"/>
                <c:pt idx="0">
                  <c:v>Cattle</c:v>
                </c:pt>
              </c:strCache>
            </c:strRef>
          </c:tx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'LiveStock Assets'!$D$7:$D$18</c:f>
              <c:strCache>
                <c:ptCount val="12"/>
                <c:pt idx="0">
                  <c:v>Poor      </c:v>
                </c:pt>
                <c:pt idx="1">
                  <c:v>Middle      Mukono Butere</c:v>
                </c:pt>
                <c:pt idx="2">
                  <c:v>Better Off</c:v>
                </c:pt>
                <c:pt idx="3">
                  <c:v>Poor</c:v>
                </c:pt>
                <c:pt idx="4">
                  <c:v>Middle      Mukono Lusera</c:v>
                </c:pt>
                <c:pt idx="5">
                  <c:v>Better Off</c:v>
                </c:pt>
                <c:pt idx="6">
                  <c:v>Poor</c:v>
                </c:pt>
                <c:pt idx="7">
                  <c:v>Middle      Mukono Nakisunga</c:v>
                </c:pt>
                <c:pt idx="8">
                  <c:v>Better Off</c:v>
                </c:pt>
                <c:pt idx="9">
                  <c:v>Poor</c:v>
                </c:pt>
                <c:pt idx="10">
                  <c:v>Middle      Mukono Ntenjeru</c:v>
                </c:pt>
                <c:pt idx="11">
                  <c:v>Better Off</c:v>
                </c:pt>
              </c:strCache>
            </c:strRef>
          </c:cat>
          <c:val>
            <c:numRef>
              <c:f>'LiveStock Assets'!$E$7:$E$18</c:f>
              <c:numCache>
                <c:formatCode>General</c:formatCode>
                <c:ptCount val="12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2</c:v>
                </c:pt>
                <c:pt idx="1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24-774F-AEAF-F7B63E3F32F1}"/>
            </c:ext>
          </c:extLst>
        </c:ser>
        <c:ser>
          <c:idx val="1"/>
          <c:order val="1"/>
          <c:tx>
            <c:strRef>
              <c:f>'LiveStock Assets'!$F$6</c:f>
              <c:strCache>
                <c:ptCount val="1"/>
                <c:pt idx="0">
                  <c:v>Pig</c:v>
                </c:pt>
              </c:strCache>
            </c:strRef>
          </c:tx>
          <c:spPr>
            <a:solidFill>
              <a:schemeClr val="accent5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'LiveStock Assets'!$D$7:$D$18</c:f>
              <c:strCache>
                <c:ptCount val="12"/>
                <c:pt idx="0">
                  <c:v>Poor      </c:v>
                </c:pt>
                <c:pt idx="1">
                  <c:v>Middle      Mukono Butere</c:v>
                </c:pt>
                <c:pt idx="2">
                  <c:v>Better Off</c:v>
                </c:pt>
                <c:pt idx="3">
                  <c:v>Poor</c:v>
                </c:pt>
                <c:pt idx="4">
                  <c:v>Middle      Mukono Lusera</c:v>
                </c:pt>
                <c:pt idx="5">
                  <c:v>Better Off</c:v>
                </c:pt>
                <c:pt idx="6">
                  <c:v>Poor</c:v>
                </c:pt>
                <c:pt idx="7">
                  <c:v>Middle      Mukono Nakisunga</c:v>
                </c:pt>
                <c:pt idx="8">
                  <c:v>Better Off</c:v>
                </c:pt>
                <c:pt idx="9">
                  <c:v>Poor</c:v>
                </c:pt>
                <c:pt idx="10">
                  <c:v>Middle      Mukono Ntenjeru</c:v>
                </c:pt>
                <c:pt idx="11">
                  <c:v>Better Off</c:v>
                </c:pt>
              </c:strCache>
            </c:strRef>
          </c:cat>
          <c:val>
            <c:numRef>
              <c:f>'LiveStock Assets'!$F$7:$F$18</c:f>
              <c:numCache>
                <c:formatCode>General</c:formatCode>
                <c:ptCount val="12"/>
                <c:pt idx="0">
                  <c:v>0</c:v>
                </c:pt>
                <c:pt idx="1">
                  <c:v>3</c:v>
                </c:pt>
                <c:pt idx="2">
                  <c:v>14</c:v>
                </c:pt>
                <c:pt idx="3">
                  <c:v>0</c:v>
                </c:pt>
                <c:pt idx="4">
                  <c:v>6</c:v>
                </c:pt>
                <c:pt idx="5">
                  <c:v>18</c:v>
                </c:pt>
                <c:pt idx="6">
                  <c:v>6</c:v>
                </c:pt>
                <c:pt idx="7">
                  <c:v>6</c:v>
                </c:pt>
                <c:pt idx="8">
                  <c:v>12</c:v>
                </c:pt>
                <c:pt idx="9">
                  <c:v>0</c:v>
                </c:pt>
                <c:pt idx="10">
                  <c:v>3</c:v>
                </c:pt>
                <c:pt idx="1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24-774F-AEAF-F7B63E3F32F1}"/>
            </c:ext>
          </c:extLst>
        </c:ser>
        <c:ser>
          <c:idx val="2"/>
          <c:order val="2"/>
          <c:tx>
            <c:strRef>
              <c:f>'LiveStock Assets'!$G$6</c:f>
              <c:strCache>
                <c:ptCount val="1"/>
                <c:pt idx="0">
                  <c:v>Chicken</c:v>
                </c:pt>
              </c:strCache>
            </c:strRef>
          </c:tx>
          <c:spPr>
            <a:solidFill>
              <a:schemeClr val="accent4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'LiveStock Assets'!$D$7:$D$18</c:f>
              <c:strCache>
                <c:ptCount val="12"/>
                <c:pt idx="0">
                  <c:v>Poor      </c:v>
                </c:pt>
                <c:pt idx="1">
                  <c:v>Middle      Mukono Butere</c:v>
                </c:pt>
                <c:pt idx="2">
                  <c:v>Better Off</c:v>
                </c:pt>
                <c:pt idx="3">
                  <c:v>Poor</c:v>
                </c:pt>
                <c:pt idx="4">
                  <c:v>Middle      Mukono Lusera</c:v>
                </c:pt>
                <c:pt idx="5">
                  <c:v>Better Off</c:v>
                </c:pt>
                <c:pt idx="6">
                  <c:v>Poor</c:v>
                </c:pt>
                <c:pt idx="7">
                  <c:v>Middle      Mukono Nakisunga</c:v>
                </c:pt>
                <c:pt idx="8">
                  <c:v>Better Off</c:v>
                </c:pt>
                <c:pt idx="9">
                  <c:v>Poor</c:v>
                </c:pt>
                <c:pt idx="10">
                  <c:v>Middle      Mukono Ntenjeru</c:v>
                </c:pt>
                <c:pt idx="11">
                  <c:v>Better Off</c:v>
                </c:pt>
              </c:strCache>
            </c:strRef>
          </c:cat>
          <c:val>
            <c:numRef>
              <c:f>'LiveStock Assets'!$G$7:$G$18</c:f>
              <c:numCache>
                <c:formatCode>General</c:formatCode>
                <c:ptCount val="12"/>
                <c:pt idx="0">
                  <c:v>6</c:v>
                </c:pt>
                <c:pt idx="1">
                  <c:v>6</c:v>
                </c:pt>
                <c:pt idx="2">
                  <c:v>13</c:v>
                </c:pt>
                <c:pt idx="3">
                  <c:v>4</c:v>
                </c:pt>
                <c:pt idx="4">
                  <c:v>5</c:v>
                </c:pt>
                <c:pt idx="5">
                  <c:v>350</c:v>
                </c:pt>
                <c:pt idx="6">
                  <c:v>5</c:v>
                </c:pt>
                <c:pt idx="7">
                  <c:v>0</c:v>
                </c:pt>
                <c:pt idx="8">
                  <c:v>25</c:v>
                </c:pt>
                <c:pt idx="9">
                  <c:v>3</c:v>
                </c:pt>
                <c:pt idx="10">
                  <c:v>6</c:v>
                </c:pt>
                <c:pt idx="11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70-AD48-86DC-BFB5AE588FF6}"/>
            </c:ext>
          </c:extLst>
        </c:ser>
        <c:ser>
          <c:idx val="3"/>
          <c:order val="3"/>
          <c:tx>
            <c:strRef>
              <c:f>'LiveStock Assets'!$H$6</c:f>
              <c:strCache>
                <c:ptCount val="1"/>
                <c:pt idx="0">
                  <c:v>Goat</c:v>
                </c:pt>
              </c:strCache>
            </c:strRef>
          </c:tx>
          <c:spPr>
            <a:solidFill>
              <a:schemeClr val="accent6">
                <a:lumMod val="6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'LiveStock Assets'!$D$7:$D$18</c:f>
              <c:strCache>
                <c:ptCount val="12"/>
                <c:pt idx="0">
                  <c:v>Poor      </c:v>
                </c:pt>
                <c:pt idx="1">
                  <c:v>Middle      Mukono Butere</c:v>
                </c:pt>
                <c:pt idx="2">
                  <c:v>Better Off</c:v>
                </c:pt>
                <c:pt idx="3">
                  <c:v>Poor</c:v>
                </c:pt>
                <c:pt idx="4">
                  <c:v>Middle      Mukono Lusera</c:v>
                </c:pt>
                <c:pt idx="5">
                  <c:v>Better Off</c:v>
                </c:pt>
                <c:pt idx="6">
                  <c:v>Poor</c:v>
                </c:pt>
                <c:pt idx="7">
                  <c:v>Middle      Mukono Nakisunga</c:v>
                </c:pt>
                <c:pt idx="8">
                  <c:v>Better Off</c:v>
                </c:pt>
                <c:pt idx="9">
                  <c:v>Poor</c:v>
                </c:pt>
                <c:pt idx="10">
                  <c:v>Middle      Mukono Ntenjeru</c:v>
                </c:pt>
                <c:pt idx="11">
                  <c:v>Better Off</c:v>
                </c:pt>
              </c:strCache>
            </c:strRef>
          </c:cat>
          <c:val>
            <c:numRef>
              <c:f>'LiveStock Assets'!$H$7:$H$18</c:f>
              <c:numCache>
                <c:formatCode>General</c:formatCode>
                <c:ptCount val="12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60</c:v>
                </c:pt>
                <c:pt idx="6">
                  <c:v>0</c:v>
                </c:pt>
                <c:pt idx="7">
                  <c:v>2</c:v>
                </c:pt>
                <c:pt idx="8">
                  <c:v>8</c:v>
                </c:pt>
                <c:pt idx="9">
                  <c:v>1</c:v>
                </c:pt>
                <c:pt idx="10">
                  <c:v>3</c:v>
                </c:pt>
                <c:pt idx="1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70-AD48-86DC-BFB5AE588FF6}"/>
            </c:ext>
          </c:extLst>
        </c:ser>
        <c:ser>
          <c:idx val="4"/>
          <c:order val="4"/>
          <c:tx>
            <c:strRef>
              <c:f>'LiveStock Assets'!$I$6</c:f>
              <c:strCache>
                <c:ptCount val="1"/>
                <c:pt idx="0">
                  <c:v>Chicken, local</c:v>
                </c:pt>
              </c:strCache>
            </c:strRef>
          </c:tx>
          <c:spPr>
            <a:solidFill>
              <a:schemeClr val="accent5">
                <a:lumMod val="6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'LiveStock Assets'!$D$7:$D$18</c:f>
              <c:strCache>
                <c:ptCount val="12"/>
                <c:pt idx="0">
                  <c:v>Poor      </c:v>
                </c:pt>
                <c:pt idx="1">
                  <c:v>Middle      Mukono Butere</c:v>
                </c:pt>
                <c:pt idx="2">
                  <c:v>Better Off</c:v>
                </c:pt>
                <c:pt idx="3">
                  <c:v>Poor</c:v>
                </c:pt>
                <c:pt idx="4">
                  <c:v>Middle      Mukono Lusera</c:v>
                </c:pt>
                <c:pt idx="5">
                  <c:v>Better Off</c:v>
                </c:pt>
                <c:pt idx="6">
                  <c:v>Poor</c:v>
                </c:pt>
                <c:pt idx="7">
                  <c:v>Middle      Mukono Nakisunga</c:v>
                </c:pt>
                <c:pt idx="8">
                  <c:v>Better Off</c:v>
                </c:pt>
                <c:pt idx="9">
                  <c:v>Poor</c:v>
                </c:pt>
                <c:pt idx="10">
                  <c:v>Middle      Mukono Ntenjeru</c:v>
                </c:pt>
                <c:pt idx="11">
                  <c:v>Better Off</c:v>
                </c:pt>
              </c:strCache>
            </c:strRef>
          </c:cat>
          <c:val>
            <c:numRef>
              <c:f>'LiveStock Assets'!$I$7:$I$18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22</c:v>
                </c:pt>
                <c:pt idx="6">
                  <c:v>0</c:v>
                </c:pt>
                <c:pt idx="7">
                  <c:v>10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70-AD48-86DC-BFB5AE588FF6}"/>
            </c:ext>
          </c:extLst>
        </c:ser>
        <c:ser>
          <c:idx val="5"/>
          <c:order val="5"/>
          <c:tx>
            <c:strRef>
              <c:f>'LiveStock Assets'!$J$6</c:f>
              <c:strCache>
                <c:ptCount val="1"/>
                <c:pt idx="0">
                  <c:v>Cow, dairy</c:v>
                </c:pt>
              </c:strCache>
            </c:strRef>
          </c:tx>
          <c:spPr>
            <a:solidFill>
              <a:schemeClr val="accent4">
                <a:lumMod val="6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'LiveStock Assets'!$D$7:$D$18</c:f>
              <c:strCache>
                <c:ptCount val="12"/>
                <c:pt idx="0">
                  <c:v>Poor      </c:v>
                </c:pt>
                <c:pt idx="1">
                  <c:v>Middle      Mukono Butere</c:v>
                </c:pt>
                <c:pt idx="2">
                  <c:v>Better Off</c:v>
                </c:pt>
                <c:pt idx="3">
                  <c:v>Poor</c:v>
                </c:pt>
                <c:pt idx="4">
                  <c:v>Middle      Mukono Lusera</c:v>
                </c:pt>
                <c:pt idx="5">
                  <c:v>Better Off</c:v>
                </c:pt>
                <c:pt idx="6">
                  <c:v>Poor</c:v>
                </c:pt>
                <c:pt idx="7">
                  <c:v>Middle      Mukono Nakisunga</c:v>
                </c:pt>
                <c:pt idx="8">
                  <c:v>Better Off</c:v>
                </c:pt>
                <c:pt idx="9">
                  <c:v>Poor</c:v>
                </c:pt>
                <c:pt idx="10">
                  <c:v>Middle      Mukono Ntenjeru</c:v>
                </c:pt>
                <c:pt idx="11">
                  <c:v>Better Off</c:v>
                </c:pt>
              </c:strCache>
            </c:strRef>
          </c:cat>
          <c:val>
            <c:numRef>
              <c:f>'LiveStock Assets'!$J$7:$J$18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9-FF4E-88BF-6202B260D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0"/>
        <c:overlap val="100"/>
        <c:axId val="290611519"/>
        <c:axId val="346055007"/>
      </c:barChart>
      <c:catAx>
        <c:axId val="290611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noFill/>
            <a:round/>
          </a:ln>
          <a:effectLst/>
        </c:spPr>
        <c:txPr>
          <a:bodyPr rot="2700000" spcFirstLastPara="1" vertOverflow="ellipsis" wrap="square" anchor="ctr" anchorCtr="1"/>
          <a:lstStyle/>
          <a:p>
            <a:pPr>
              <a:defRPr sz="1200" b="0" i="0" u="none" strike="noStrike" kern="1200" cap="all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055007"/>
        <c:crosses val="autoZero"/>
        <c:auto val="1"/>
        <c:lblAlgn val="ctr"/>
        <c:lblOffset val="100"/>
        <c:noMultiLvlLbl val="0"/>
      </c:catAx>
      <c:valAx>
        <c:axId val="34605500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accent1">
                  <a:lumMod val="7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6115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817864169073093"/>
          <c:y val="0.11315453783308402"/>
          <c:w val="7.7077302685657614E-2"/>
          <c:h val="0.287085299097529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10000">
          <a:schemeClr val="accent1">
            <a:lumMod val="5000"/>
            <a:lumOff val="95000"/>
          </a:schemeClr>
        </a:gs>
        <a:gs pos="59000">
          <a:schemeClr val="accent1">
            <a:lumMod val="20000"/>
            <a:lumOff val="80000"/>
          </a:schemeClr>
        </a:gs>
        <a:gs pos="100000">
          <a:schemeClr val="accent1">
            <a:lumMod val="40000"/>
            <a:lumOff val="60000"/>
          </a:schemeClr>
        </a:gs>
      </a:gsLst>
      <a:lin ang="5400000" scaled="1"/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'LiveStock Assets'!$A$21</c:f>
          <c:strCache>
            <c:ptCount val="1"/>
            <c:pt idx="0">
              <c:v>Banana Coffee Piggery LZ, Average Land Assets</c:v>
            </c:pt>
          </c:strCache>
        </c:strRef>
      </c:tx>
      <c:layout>
        <c:manualLayout>
          <c:xMode val="edge"/>
          <c:yMode val="edge"/>
          <c:x val="0.22502558825421035"/>
          <c:y val="3.27362895427545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14537068514045"/>
          <c:y val="0.16749798241978756"/>
          <c:w val="0.57718106561067262"/>
          <c:h val="0.6602431275037988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'LiveStock Assets'!$E$2</c:f>
              <c:strCache>
                <c:ptCount val="1"/>
                <c:pt idx="0">
                  <c:v>Cattle</c:v>
                </c:pt>
              </c:strCache>
            </c:strRef>
          </c:tx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'LiveStock Assets'!$D$3:$D$5</c:f>
              <c:strCache>
                <c:ptCount val="3"/>
                <c:pt idx="0">
                  <c:v>Poor</c:v>
                </c:pt>
                <c:pt idx="1">
                  <c:v>Middle</c:v>
                </c:pt>
                <c:pt idx="2">
                  <c:v>Better Off</c:v>
                </c:pt>
              </c:strCache>
            </c:strRef>
          </c:cat>
          <c:val>
            <c:numRef>
              <c:f>'LiveStock Assets'!$E$3:$E$5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5E-C747-B0D0-9F16B5444AF4}"/>
            </c:ext>
          </c:extLst>
        </c:ser>
        <c:ser>
          <c:idx val="1"/>
          <c:order val="1"/>
          <c:tx>
            <c:strRef>
              <c:f>'LiveStock Assets'!$F$2</c:f>
              <c:strCache>
                <c:ptCount val="1"/>
                <c:pt idx="0">
                  <c:v>Pig</c:v>
                </c:pt>
              </c:strCache>
            </c:strRef>
          </c:tx>
          <c:spPr>
            <a:solidFill>
              <a:schemeClr val="accent5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'LiveStock Assets'!$D$3:$D$5</c:f>
              <c:strCache>
                <c:ptCount val="3"/>
                <c:pt idx="0">
                  <c:v>Poor</c:v>
                </c:pt>
                <c:pt idx="1">
                  <c:v>Middle</c:v>
                </c:pt>
                <c:pt idx="2">
                  <c:v>Better Off</c:v>
                </c:pt>
              </c:strCache>
            </c:strRef>
          </c:cat>
          <c:val>
            <c:numRef>
              <c:f>'LiveStock Assets'!$F$3:$F$5</c:f>
              <c:numCache>
                <c:formatCode>General</c:formatCode>
                <c:ptCount val="3"/>
                <c:pt idx="0">
                  <c:v>1.5</c:v>
                </c:pt>
                <c:pt idx="1">
                  <c:v>4.5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5E-C747-B0D0-9F16B5444AF4}"/>
            </c:ext>
          </c:extLst>
        </c:ser>
        <c:ser>
          <c:idx val="2"/>
          <c:order val="2"/>
          <c:tx>
            <c:strRef>
              <c:f>'LiveStock Assets'!$G$2</c:f>
              <c:strCache>
                <c:ptCount val="1"/>
                <c:pt idx="0">
                  <c:v>Chicken</c:v>
                </c:pt>
              </c:strCache>
            </c:strRef>
          </c:tx>
          <c:spPr>
            <a:solidFill>
              <a:schemeClr val="accent4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'LiveStock Assets'!$D$3:$D$5</c:f>
              <c:strCache>
                <c:ptCount val="3"/>
                <c:pt idx="0">
                  <c:v>Poor</c:v>
                </c:pt>
                <c:pt idx="1">
                  <c:v>Middle</c:v>
                </c:pt>
                <c:pt idx="2">
                  <c:v>Better Off</c:v>
                </c:pt>
              </c:strCache>
            </c:strRef>
          </c:cat>
          <c:val>
            <c:numRef>
              <c:f>'LiveStock Assets'!$G$3:$G$5</c:f>
              <c:numCache>
                <c:formatCode>General</c:formatCode>
                <c:ptCount val="3"/>
                <c:pt idx="0">
                  <c:v>4.5</c:v>
                </c:pt>
                <c:pt idx="1">
                  <c:v>4.25</c:v>
                </c:pt>
                <c:pt idx="2">
                  <c:v>100.25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F8E-E546-B713-DEFAC3E94F5F}"/>
            </c:ext>
          </c:extLst>
        </c:ser>
        <c:ser>
          <c:idx val="3"/>
          <c:order val="3"/>
          <c:tx>
            <c:strRef>
              <c:f>'LiveStock Assets'!$H$2</c:f>
              <c:strCache>
                <c:ptCount val="1"/>
                <c:pt idx="0">
                  <c:v>Goat</c:v>
                </c:pt>
              </c:strCache>
            </c:strRef>
          </c:tx>
          <c:spPr>
            <a:solidFill>
              <a:schemeClr val="accent6">
                <a:lumMod val="6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'LiveStock Assets'!$D$3:$D$5</c:f>
              <c:strCache>
                <c:ptCount val="3"/>
                <c:pt idx="0">
                  <c:v>Poor</c:v>
                </c:pt>
                <c:pt idx="1">
                  <c:v>Middle</c:v>
                </c:pt>
                <c:pt idx="2">
                  <c:v>Better Off</c:v>
                </c:pt>
              </c:strCache>
            </c:strRef>
          </c:cat>
          <c:val>
            <c:numRef>
              <c:f>'LiveStock Assets'!$H$3:$H$5</c:f>
              <c:numCache>
                <c:formatCode>General</c:formatCode>
                <c:ptCount val="3"/>
                <c:pt idx="0">
                  <c:v>0.25</c:v>
                </c:pt>
                <c:pt idx="1">
                  <c:v>2</c:v>
                </c:pt>
                <c:pt idx="2">
                  <c:v>18.25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F8E-E546-B713-DEFAC3E94F5F}"/>
            </c:ext>
          </c:extLst>
        </c:ser>
        <c:ser>
          <c:idx val="4"/>
          <c:order val="4"/>
          <c:tx>
            <c:strRef>
              <c:f>'LiveStock Assets'!$I$2</c:f>
              <c:strCache>
                <c:ptCount val="1"/>
                <c:pt idx="0">
                  <c:v>Chicken, local</c:v>
                </c:pt>
              </c:strCache>
            </c:strRef>
          </c:tx>
          <c:spPr>
            <a:solidFill>
              <a:schemeClr val="accent5">
                <a:lumMod val="6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'LiveStock Assets'!$D$3:$D$5</c:f>
              <c:strCache>
                <c:ptCount val="3"/>
                <c:pt idx="0">
                  <c:v>Poor</c:v>
                </c:pt>
                <c:pt idx="1">
                  <c:v>Middle</c:v>
                </c:pt>
                <c:pt idx="2">
                  <c:v>Better Off</c:v>
                </c:pt>
              </c:strCache>
            </c:strRef>
          </c:cat>
          <c:val>
            <c:numRef>
              <c:f>'LiveStock Assets'!$I$3:$I$5</c:f>
              <c:numCache>
                <c:formatCode>General</c:formatCode>
                <c:ptCount val="3"/>
                <c:pt idx="0">
                  <c:v>0</c:v>
                </c:pt>
                <c:pt idx="1">
                  <c:v>2.5</c:v>
                </c:pt>
                <c:pt idx="2">
                  <c:v>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F8E-E546-B713-DEFAC3E94F5F}"/>
            </c:ext>
          </c:extLst>
        </c:ser>
        <c:ser>
          <c:idx val="5"/>
          <c:order val="5"/>
          <c:tx>
            <c:strRef>
              <c:f>'LiveStock Assets'!$J$2</c:f>
              <c:strCache>
                <c:ptCount val="1"/>
                <c:pt idx="0">
                  <c:v>Cow, dairy</c:v>
                </c:pt>
              </c:strCache>
            </c:strRef>
          </c:tx>
          <c:spPr>
            <a:solidFill>
              <a:schemeClr val="accent4">
                <a:lumMod val="6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'LiveStock Assets'!$D$3:$D$5</c:f>
              <c:strCache>
                <c:ptCount val="3"/>
                <c:pt idx="0">
                  <c:v>Poor</c:v>
                </c:pt>
                <c:pt idx="1">
                  <c:v>Middle</c:v>
                </c:pt>
                <c:pt idx="2">
                  <c:v>Better Off</c:v>
                </c:pt>
              </c:strCache>
            </c:strRef>
          </c:cat>
          <c:val>
            <c:numRef>
              <c:f>'LiveStock Assets'!$J$3:$J$5</c:f>
              <c:numCache>
                <c:formatCode>General</c:formatCode>
                <c:ptCount val="3"/>
                <c:pt idx="0">
                  <c:v>0</c:v>
                </c:pt>
                <c:pt idx="1">
                  <c:v>0.75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BE-A34A-A335-687682A6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0"/>
        <c:overlap val="100"/>
        <c:axId val="290611519"/>
        <c:axId val="346055007"/>
      </c:barChart>
      <c:catAx>
        <c:axId val="290611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noFill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0" i="0" u="none" strike="noStrike" kern="1200" cap="all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055007"/>
        <c:crosses val="autoZero"/>
        <c:auto val="1"/>
        <c:lblAlgn val="ctr"/>
        <c:lblOffset val="100"/>
        <c:noMultiLvlLbl val="0"/>
      </c:catAx>
      <c:valAx>
        <c:axId val="34605500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accent1">
                  <a:lumMod val="7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6115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817864169073093"/>
          <c:y val="0.11315453783308402"/>
          <c:w val="0.11566093036503459"/>
          <c:h val="0.482504765851636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18000">
          <a:schemeClr val="bg1"/>
        </a:gs>
        <a:gs pos="51000">
          <a:schemeClr val="accent3">
            <a:lumMod val="20000"/>
            <a:lumOff val="80000"/>
          </a:schemeClr>
        </a:gs>
        <a:gs pos="100000">
          <a:schemeClr val="tx2">
            <a:lumMod val="20000"/>
            <a:lumOff val="80000"/>
          </a:schemeClr>
        </a:gs>
      </a:gsLst>
      <a:lin ang="5400000" scaled="1"/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25400</xdr:colOff>
      <xdr:row>1</xdr:row>
      <xdr:rowOff>101600</xdr:rowOff>
    </xdr:from>
    <xdr:to>
      <xdr:col>26</xdr:col>
      <xdr:colOff>622300</xdr:colOff>
      <xdr:row>25</xdr:row>
      <xdr:rowOff>88900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CC18425-9FDA-0F40-BB2C-18377AE4AA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558800</xdr:colOff>
      <xdr:row>1</xdr:row>
      <xdr:rowOff>76200</xdr:rowOff>
    </xdr:from>
    <xdr:to>
      <xdr:col>13</xdr:col>
      <xdr:colOff>609600</xdr:colOff>
      <xdr:row>25</xdr:row>
      <xdr:rowOff>63500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19F730C-5E64-D449-A535-4B2F30A15D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29</xdr:row>
      <xdr:rowOff>63500</xdr:rowOff>
    </xdr:from>
    <xdr:to>
      <xdr:col>12</xdr:col>
      <xdr:colOff>393700</xdr:colOff>
      <xdr:row>42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FA45E13-492E-F846-86EB-114A2D95A7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660400</xdr:colOff>
      <xdr:row>29</xdr:row>
      <xdr:rowOff>25400</xdr:rowOff>
    </xdr:from>
    <xdr:to>
      <xdr:col>26</xdr:col>
      <xdr:colOff>292100</xdr:colOff>
      <xdr:row>42</xdr:row>
      <xdr:rowOff>127000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4CEE91A0-DC1F-5C4A-A4D1-C6D2D11AAE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186266</xdr:colOff>
      <xdr:row>102</xdr:row>
      <xdr:rowOff>21166</xdr:rowOff>
    </xdr:from>
    <xdr:to>
      <xdr:col>17</xdr:col>
      <xdr:colOff>635000</xdr:colOff>
      <xdr:row>121</xdr:row>
      <xdr:rowOff>198966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88F8A89-B46F-1D43-8A08-065ED6B780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325966</xdr:colOff>
      <xdr:row>101</xdr:row>
      <xdr:rowOff>127000</xdr:rowOff>
    </xdr:from>
    <xdr:to>
      <xdr:col>7</xdr:col>
      <xdr:colOff>1079499</xdr:colOff>
      <xdr:row>121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DFF7B4C-F215-E845-9CA8-D682EE8564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2692399</xdr:colOff>
      <xdr:row>123</xdr:row>
      <xdr:rowOff>175683</xdr:rowOff>
    </xdr:from>
    <xdr:to>
      <xdr:col>5</xdr:col>
      <xdr:colOff>990600</xdr:colOff>
      <xdr:row>139</xdr:row>
      <xdr:rowOff>29634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2A1D71A-D72B-2D44-9C5F-357A5F79B6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220134</xdr:colOff>
      <xdr:row>123</xdr:row>
      <xdr:rowOff>127000</xdr:rowOff>
    </xdr:from>
    <xdr:to>
      <xdr:col>14</xdr:col>
      <xdr:colOff>977901</xdr:colOff>
      <xdr:row>138</xdr:row>
      <xdr:rowOff>196850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6A2A5E2-46F4-B54D-A93A-9A7481045F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3</xdr:row>
      <xdr:rowOff>190500</xdr:rowOff>
    </xdr:from>
    <xdr:to>
      <xdr:col>15</xdr:col>
      <xdr:colOff>0</xdr:colOff>
      <xdr:row>25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75F4F1-B5F7-5C48-AF6C-0D1C0A6EF2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342900</xdr:colOff>
      <xdr:row>27</xdr:row>
      <xdr:rowOff>76200</xdr:rowOff>
    </xdr:from>
    <xdr:to>
      <xdr:col>12</xdr:col>
      <xdr:colOff>673100</xdr:colOff>
      <xdr:row>40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7073140-5747-7144-8991-66E6E82C9C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508000</xdr:colOff>
      <xdr:row>1</xdr:row>
      <xdr:rowOff>139700</xdr:rowOff>
    </xdr:from>
    <xdr:to>
      <xdr:col>15</xdr:col>
      <xdr:colOff>723900</xdr:colOff>
      <xdr:row>23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142393-9AD1-8F4A-9097-7640EF1908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165100</xdr:colOff>
      <xdr:row>25</xdr:row>
      <xdr:rowOff>165100</xdr:rowOff>
    </xdr:from>
    <xdr:to>
      <xdr:col>11</xdr:col>
      <xdr:colOff>558800</xdr:colOff>
      <xdr:row>39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31A8BC3-3AE3-5F45-96C9-B8F263630E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1295399</xdr:colOff>
      <xdr:row>103</xdr:row>
      <xdr:rowOff>25400</xdr:rowOff>
    </xdr:from>
    <xdr:to>
      <xdr:col>8</xdr:col>
      <xdr:colOff>165100</xdr:colOff>
      <xdr:row>127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9A6BBF2-8643-4248-A23E-F855D7ACB5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1066800</xdr:colOff>
      <xdr:row>129</xdr:row>
      <xdr:rowOff>165100</xdr:rowOff>
    </xdr:from>
    <xdr:to>
      <xdr:col>5</xdr:col>
      <xdr:colOff>952500</xdr:colOff>
      <xdr:row>144</xdr:row>
      <xdr:rowOff>50800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BCB48F9-6A62-654F-83B0-0BDA479C97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1092199</xdr:colOff>
      <xdr:row>101</xdr:row>
      <xdr:rowOff>139700</xdr:rowOff>
    </xdr:from>
    <xdr:to>
      <xdr:col>8</xdr:col>
      <xdr:colOff>12700</xdr:colOff>
      <xdr:row>129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596FE22-E359-A84C-9A19-0A540479A7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3581400</xdr:colOff>
      <xdr:row>130</xdr:row>
      <xdr:rowOff>177800</xdr:rowOff>
    </xdr:from>
    <xdr:to>
      <xdr:col>6</xdr:col>
      <xdr:colOff>114300</xdr:colOff>
      <xdr:row>148</xdr:row>
      <xdr:rowOff>139700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B423009-2A5C-1D43-8E8D-638921FE79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iclegg/Downloads/All%20ReportsSun%20Dec%2029%2017_53_31%20UTC%20201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stom Report Spec"/>
      <sheetName val="366 Community Disposable Income"/>
      <sheetName val="367 Community DI with Standard "/>
      <sheetName val="368 Community Cash Income"/>
      <sheetName val="369 Community Food Income by in"/>
      <sheetName val="370 Community Land Assets in or"/>
      <sheetName val="371 Community Livestock Assets "/>
    </sheetNames>
    <sheetDataSet>
      <sheetData sheetId="0">
        <row r="1">
          <cell r="B1">
            <v>43828.745497754629</v>
          </cell>
        </row>
        <row r="2">
          <cell r="B2" t="str">
            <v>All Reports</v>
          </cell>
        </row>
        <row r="3">
          <cell r="B3" t="str">
            <v>Mukono - New Test / Banana Coffee Piggery</v>
          </cell>
        </row>
        <row r="4">
          <cell r="B4" t="str">
            <v>UGX</v>
          </cell>
        </row>
        <row r="7">
          <cell r="B7" t="str">
            <v>Community Disposable Income (DI) by Wealth Group, in order of Wealth Group</v>
          </cell>
          <cell r="C7" t="str">
            <v>Mukono Butere</v>
          </cell>
        </row>
        <row r="8">
          <cell r="B8" t="str">
            <v>Community DI with Standard of Living adjustment, by order of WG</v>
          </cell>
          <cell r="C8" t="str">
            <v>Mukono Lusera</v>
          </cell>
        </row>
        <row r="9">
          <cell r="B9" t="str">
            <v>Community Cash Income</v>
          </cell>
          <cell r="C9" t="str">
            <v>Mukono Nakisunga</v>
          </cell>
        </row>
        <row r="10">
          <cell r="B10" t="str">
            <v>Community Food Income by in order of WG</v>
          </cell>
          <cell r="C10" t="str">
            <v>Mukono Ntenjeru</v>
          </cell>
        </row>
        <row r="11">
          <cell r="B11" t="str">
            <v>Community Land Assets in order of WG</v>
          </cell>
        </row>
        <row r="12">
          <cell r="B12" t="str">
            <v>Community Livestock Assets in order of WG</v>
          </cell>
        </row>
      </sheetData>
      <sheetData sheetId="1">
        <row r="3">
          <cell r="B3" t="str">
            <v>Averages</v>
          </cell>
          <cell r="C3" t="str">
            <v>Poor</v>
          </cell>
          <cell r="D3">
            <v>4.75</v>
          </cell>
          <cell r="E3">
            <v>2254401</v>
          </cell>
        </row>
        <row r="4">
          <cell r="C4" t="str">
            <v>Middle</v>
          </cell>
          <cell r="D4">
            <v>6</v>
          </cell>
          <cell r="E4">
            <v>15657180</v>
          </cell>
        </row>
        <row r="5">
          <cell r="C5" t="str">
            <v>Better Off</v>
          </cell>
          <cell r="D5">
            <v>5.75</v>
          </cell>
          <cell r="E5">
            <v>4547972</v>
          </cell>
        </row>
        <row r="7">
          <cell r="A7" t="str">
            <v>Banana Coffee Piggery</v>
          </cell>
          <cell r="B7" t="str">
            <v>Mukono Butere</v>
          </cell>
          <cell r="C7" t="str">
            <v>Poor</v>
          </cell>
          <cell r="D7">
            <v>6</v>
          </cell>
          <cell r="E7">
            <v>7400000</v>
          </cell>
        </row>
        <row r="8">
          <cell r="C8" t="str">
            <v>Middle</v>
          </cell>
          <cell r="D8">
            <v>7</v>
          </cell>
          <cell r="E8">
            <v>27083800</v>
          </cell>
        </row>
        <row r="9">
          <cell r="C9" t="str">
            <v>Better Off</v>
          </cell>
          <cell r="D9">
            <v>4</v>
          </cell>
          <cell r="E9">
            <v>2164000</v>
          </cell>
        </row>
        <row r="10">
          <cell r="B10" t="str">
            <v>Mukono Lusera</v>
          </cell>
          <cell r="C10" t="str">
            <v>Poor</v>
          </cell>
          <cell r="D10">
            <v>3</v>
          </cell>
          <cell r="E10">
            <v>1119804</v>
          </cell>
        </row>
        <row r="11">
          <cell r="C11" t="str">
            <v>Middle</v>
          </cell>
          <cell r="D11">
            <v>5</v>
          </cell>
          <cell r="E11">
            <v>2248160</v>
          </cell>
        </row>
        <row r="12">
          <cell r="C12" t="str">
            <v>Better Off</v>
          </cell>
          <cell r="D12">
            <v>4</v>
          </cell>
          <cell r="E12">
            <v>6230</v>
          </cell>
        </row>
        <row r="13">
          <cell r="B13" t="str">
            <v>Mukono Nakisunga</v>
          </cell>
          <cell r="C13" t="str">
            <v>Poor</v>
          </cell>
          <cell r="D13">
            <v>5</v>
          </cell>
          <cell r="E13">
            <v>32800</v>
          </cell>
        </row>
        <row r="14">
          <cell r="C14" t="str">
            <v>Middle</v>
          </cell>
          <cell r="D14">
            <v>5</v>
          </cell>
          <cell r="E14">
            <v>6212960</v>
          </cell>
        </row>
        <row r="15">
          <cell r="C15" t="str">
            <v>Better Off</v>
          </cell>
          <cell r="D15">
            <v>6</v>
          </cell>
          <cell r="E15">
            <v>0</v>
          </cell>
        </row>
        <row r="16">
          <cell r="B16" t="str">
            <v>Mukono Ntenjeru</v>
          </cell>
          <cell r="C16" t="str">
            <v>Poor</v>
          </cell>
          <cell r="D16">
            <v>5</v>
          </cell>
          <cell r="E16">
            <v>465000</v>
          </cell>
        </row>
        <row r="17">
          <cell r="C17" t="str">
            <v>Middle</v>
          </cell>
          <cell r="D17">
            <v>7</v>
          </cell>
          <cell r="E17">
            <v>27083800</v>
          </cell>
        </row>
        <row r="18">
          <cell r="C18" t="str">
            <v>Better Off</v>
          </cell>
          <cell r="D18">
            <v>9</v>
          </cell>
          <cell r="E18">
            <v>16021658</v>
          </cell>
        </row>
      </sheetData>
      <sheetData sheetId="2">
        <row r="1">
          <cell r="A1" t="str">
            <v>LZ</v>
          </cell>
          <cell r="B1" t="str">
            <v>Community</v>
          </cell>
          <cell r="C1" t="str">
            <v>Wealthgroup</v>
          </cell>
          <cell r="D1" t="str">
            <v>Disposable Income</v>
          </cell>
          <cell r="E1" t="str">
            <v>Family Group Size</v>
          </cell>
          <cell r="F1" t="str">
            <v>KCal Requirement</v>
          </cell>
          <cell r="G1" t="str">
            <v>Social Inclusion SToL</v>
          </cell>
          <cell r="H1" t="str">
            <v>Survival SToL</v>
          </cell>
        </row>
        <row r="3">
          <cell r="B3" t="str">
            <v>Averages</v>
          </cell>
          <cell r="C3" t="str">
            <v>Poor</v>
          </cell>
          <cell r="D3">
            <v>2254401</v>
          </cell>
          <cell r="E3">
            <v>4.75</v>
          </cell>
          <cell r="F3">
            <v>3640875</v>
          </cell>
          <cell r="G3">
            <v>0</v>
          </cell>
          <cell r="H3">
            <v>0</v>
          </cell>
        </row>
        <row r="4">
          <cell r="C4" t="str">
            <v>Middle</v>
          </cell>
          <cell r="D4">
            <v>15657180</v>
          </cell>
          <cell r="E4">
            <v>6</v>
          </cell>
          <cell r="F4">
            <v>4599000</v>
          </cell>
          <cell r="G4">
            <v>0</v>
          </cell>
          <cell r="H4">
            <v>0</v>
          </cell>
        </row>
        <row r="5">
          <cell r="C5" t="str">
            <v>Better Off</v>
          </cell>
          <cell r="D5">
            <v>4547972</v>
          </cell>
          <cell r="E5">
            <v>5.75</v>
          </cell>
          <cell r="F5">
            <v>4407375</v>
          </cell>
          <cell r="G5">
            <v>0</v>
          </cell>
          <cell r="H5">
            <v>0</v>
          </cell>
        </row>
        <row r="7">
          <cell r="A7" t="str">
            <v>Banana Coffee Piggery</v>
          </cell>
          <cell r="B7" t="str">
            <v>Mukono Butere</v>
          </cell>
          <cell r="C7" t="str">
            <v>Poor</v>
          </cell>
          <cell r="D7">
            <v>7400000</v>
          </cell>
          <cell r="E7">
            <v>6</v>
          </cell>
          <cell r="F7">
            <v>4599000</v>
          </cell>
          <cell r="G7">
            <v>0</v>
          </cell>
          <cell r="H7">
            <v>0</v>
          </cell>
        </row>
        <row r="8">
          <cell r="C8" t="str">
            <v>Middle</v>
          </cell>
          <cell r="D8">
            <v>27083800</v>
          </cell>
          <cell r="E8">
            <v>7</v>
          </cell>
          <cell r="F8">
            <v>5365500</v>
          </cell>
          <cell r="G8">
            <v>0</v>
          </cell>
          <cell r="H8">
            <v>0</v>
          </cell>
        </row>
        <row r="9">
          <cell r="C9" t="str">
            <v>Better Off</v>
          </cell>
          <cell r="D9">
            <v>2164000</v>
          </cell>
          <cell r="E9">
            <v>4</v>
          </cell>
          <cell r="F9">
            <v>3066000</v>
          </cell>
          <cell r="G9">
            <v>0</v>
          </cell>
          <cell r="H9">
            <v>0</v>
          </cell>
        </row>
        <row r="10">
          <cell r="B10" t="str">
            <v>Mukono Lusera</v>
          </cell>
          <cell r="C10" t="str">
            <v>Poor</v>
          </cell>
          <cell r="D10">
            <v>1119804</v>
          </cell>
          <cell r="E10">
            <v>3</v>
          </cell>
          <cell r="F10">
            <v>2299500</v>
          </cell>
          <cell r="G10">
            <v>0</v>
          </cell>
          <cell r="H10">
            <v>0</v>
          </cell>
        </row>
        <row r="11">
          <cell r="C11" t="str">
            <v>Middle</v>
          </cell>
          <cell r="D11">
            <v>2248160</v>
          </cell>
          <cell r="E11">
            <v>5</v>
          </cell>
          <cell r="F11">
            <v>3832500</v>
          </cell>
          <cell r="G11">
            <v>0</v>
          </cell>
          <cell r="H11">
            <v>0</v>
          </cell>
        </row>
        <row r="12">
          <cell r="C12" t="str">
            <v>Better Off</v>
          </cell>
          <cell r="D12">
            <v>6230</v>
          </cell>
          <cell r="E12">
            <v>4</v>
          </cell>
          <cell r="F12">
            <v>3066000</v>
          </cell>
          <cell r="G12">
            <v>0</v>
          </cell>
          <cell r="H12">
            <v>0</v>
          </cell>
        </row>
        <row r="13">
          <cell r="B13" t="str">
            <v>Mukono Nakisunga</v>
          </cell>
          <cell r="C13" t="str">
            <v>Poor</v>
          </cell>
          <cell r="D13">
            <v>32800</v>
          </cell>
          <cell r="E13">
            <v>5</v>
          </cell>
          <cell r="F13">
            <v>3832500</v>
          </cell>
          <cell r="G13">
            <v>0</v>
          </cell>
          <cell r="H13">
            <v>0</v>
          </cell>
        </row>
        <row r="14">
          <cell r="C14" t="str">
            <v>Middle</v>
          </cell>
          <cell r="D14">
            <v>6212960</v>
          </cell>
          <cell r="E14">
            <v>5</v>
          </cell>
          <cell r="F14">
            <v>3832500</v>
          </cell>
          <cell r="G14">
            <v>0</v>
          </cell>
          <cell r="H14">
            <v>0</v>
          </cell>
        </row>
        <row r="15">
          <cell r="C15" t="str">
            <v>Better Off</v>
          </cell>
          <cell r="D15">
            <v>0</v>
          </cell>
          <cell r="E15">
            <v>6</v>
          </cell>
          <cell r="F15">
            <v>4599000</v>
          </cell>
          <cell r="G15">
            <v>0</v>
          </cell>
          <cell r="H15">
            <v>0</v>
          </cell>
        </row>
        <row r="16">
          <cell r="B16" t="str">
            <v>Mukono Ntenjeru</v>
          </cell>
          <cell r="C16" t="str">
            <v>Poor</v>
          </cell>
          <cell r="D16">
            <v>465000</v>
          </cell>
          <cell r="E16">
            <v>5</v>
          </cell>
          <cell r="F16">
            <v>3832500</v>
          </cell>
          <cell r="G16">
            <v>0</v>
          </cell>
          <cell r="H16">
            <v>0</v>
          </cell>
        </row>
        <row r="17">
          <cell r="C17" t="str">
            <v>Middle</v>
          </cell>
          <cell r="D17">
            <v>27083800</v>
          </cell>
          <cell r="E17">
            <v>7</v>
          </cell>
          <cell r="F17">
            <v>5365500</v>
          </cell>
          <cell r="G17">
            <v>0</v>
          </cell>
          <cell r="H17">
            <v>0</v>
          </cell>
        </row>
        <row r="18">
          <cell r="C18" t="str">
            <v>Better Off</v>
          </cell>
          <cell r="D18">
            <v>16021658</v>
          </cell>
          <cell r="E18">
            <v>9</v>
          </cell>
          <cell r="F18">
            <v>6898500</v>
          </cell>
          <cell r="G18">
            <v>0</v>
          </cell>
          <cell r="H18">
            <v>0</v>
          </cell>
        </row>
      </sheetData>
      <sheetData sheetId="3">
        <row r="1">
          <cell r="A1" t="str">
            <v>LZ</v>
          </cell>
          <cell r="B1" t="str">
            <v>Community</v>
          </cell>
          <cell r="C1" t="str">
            <v>Wealthgroup</v>
          </cell>
          <cell r="D1" t="str">
            <v>Crop Cash Income</v>
          </cell>
          <cell r="E1" t="str">
            <v>Employment Cash Income</v>
          </cell>
          <cell r="F1" t="str">
            <v>Livestock Cash Income</v>
          </cell>
          <cell r="G1" t="str">
            <v>Transfer Cash Income</v>
          </cell>
          <cell r="H1" t="str">
            <v>Wildfood Cash Income</v>
          </cell>
        </row>
        <row r="3">
          <cell r="B3" t="str">
            <v>Averages</v>
          </cell>
          <cell r="C3" t="str">
            <v>Poor</v>
          </cell>
          <cell r="D3">
            <v>213151</v>
          </cell>
          <cell r="E3">
            <v>2033250</v>
          </cell>
          <cell r="F3">
            <v>245250</v>
          </cell>
          <cell r="G3">
            <v>0</v>
          </cell>
          <cell r="H3">
            <v>8000</v>
          </cell>
        </row>
        <row r="4">
          <cell r="C4" t="str">
            <v>Middle</v>
          </cell>
          <cell r="D4">
            <v>1179080</v>
          </cell>
          <cell r="E4">
            <v>10495400</v>
          </cell>
          <cell r="F4">
            <v>2030450</v>
          </cell>
          <cell r="G4">
            <v>150000</v>
          </cell>
          <cell r="H4">
            <v>3562500</v>
          </cell>
        </row>
        <row r="5">
          <cell r="C5" t="str">
            <v>Better Off</v>
          </cell>
          <cell r="D5">
            <v>3157059.5</v>
          </cell>
          <cell r="E5">
            <v>1174912.5</v>
          </cell>
          <cell r="F5">
            <v>3346000</v>
          </cell>
          <cell r="G5">
            <v>0</v>
          </cell>
          <cell r="H5">
            <v>0</v>
          </cell>
        </row>
        <row r="7">
          <cell r="A7" t="str">
            <v>Banana Coffee Piggery</v>
          </cell>
          <cell r="B7" t="str">
            <v>Mukono Butere</v>
          </cell>
          <cell r="C7" t="str">
            <v>Poor</v>
          </cell>
          <cell r="D7">
            <v>0</v>
          </cell>
          <cell r="E7">
            <v>7400000</v>
          </cell>
          <cell r="F7">
            <v>0</v>
          </cell>
          <cell r="G7">
            <v>0</v>
          </cell>
          <cell r="H7">
            <v>0</v>
          </cell>
        </row>
        <row r="8">
          <cell r="C8" t="str">
            <v>Middle</v>
          </cell>
          <cell r="D8">
            <v>0</v>
          </cell>
          <cell r="E8">
            <v>19468800</v>
          </cell>
          <cell r="F8">
            <v>1490000</v>
          </cell>
          <cell r="G8">
            <v>0</v>
          </cell>
          <cell r="H8">
            <v>7125000</v>
          </cell>
        </row>
        <row r="9">
          <cell r="C9" t="str">
            <v>Better Off</v>
          </cell>
          <cell r="D9">
            <v>1696000</v>
          </cell>
          <cell r="E9">
            <v>468000</v>
          </cell>
          <cell r="F9">
            <v>440000</v>
          </cell>
          <cell r="G9">
            <v>0</v>
          </cell>
          <cell r="H9">
            <v>0</v>
          </cell>
        </row>
        <row r="10">
          <cell r="B10" t="str">
            <v>Mukono Lusera</v>
          </cell>
          <cell r="C10" t="str">
            <v>Poor</v>
          </cell>
          <cell r="D10">
            <v>849804</v>
          </cell>
          <cell r="E10">
            <v>270000</v>
          </cell>
          <cell r="F10">
            <v>30000</v>
          </cell>
          <cell r="G10">
            <v>0</v>
          </cell>
          <cell r="H10">
            <v>0</v>
          </cell>
        </row>
        <row r="11">
          <cell r="C11" t="str">
            <v>Middle</v>
          </cell>
          <cell r="D11">
            <v>2178160</v>
          </cell>
          <cell r="E11">
            <v>70000</v>
          </cell>
          <cell r="F11">
            <v>951000</v>
          </cell>
          <cell r="G11">
            <v>0</v>
          </cell>
          <cell r="H11">
            <v>0</v>
          </cell>
        </row>
        <row r="12">
          <cell r="C12" t="str">
            <v>Better Off</v>
          </cell>
          <cell r="D12">
            <v>6230</v>
          </cell>
          <cell r="E12">
            <v>0</v>
          </cell>
          <cell r="F12">
            <v>2770000</v>
          </cell>
          <cell r="G12">
            <v>0</v>
          </cell>
          <cell r="H12">
            <v>0</v>
          </cell>
        </row>
        <row r="13">
          <cell r="B13" t="str">
            <v>Mukono Nakisunga</v>
          </cell>
          <cell r="C13" t="str">
            <v>Poor</v>
          </cell>
          <cell r="D13">
            <v>2800</v>
          </cell>
          <cell r="E13">
            <v>30000</v>
          </cell>
          <cell r="F13">
            <v>951000</v>
          </cell>
          <cell r="G13">
            <v>0</v>
          </cell>
          <cell r="H13">
            <v>0</v>
          </cell>
        </row>
        <row r="14">
          <cell r="C14" t="str">
            <v>Middle</v>
          </cell>
          <cell r="D14">
            <v>2538160</v>
          </cell>
          <cell r="E14">
            <v>2974000</v>
          </cell>
          <cell r="F14">
            <v>4190800</v>
          </cell>
          <cell r="G14">
            <v>600000</v>
          </cell>
          <cell r="H14">
            <v>0</v>
          </cell>
        </row>
        <row r="15">
          <cell r="C15" t="str">
            <v>Better Off</v>
          </cell>
          <cell r="D15">
            <v>0</v>
          </cell>
          <cell r="E15">
            <v>0</v>
          </cell>
          <cell r="F15">
            <v>8690000</v>
          </cell>
          <cell r="G15">
            <v>0</v>
          </cell>
          <cell r="H15">
            <v>0</v>
          </cell>
        </row>
        <row r="16">
          <cell r="B16" t="str">
            <v>Mukono Ntenjeru</v>
          </cell>
          <cell r="C16" t="str">
            <v>Poor</v>
          </cell>
          <cell r="D16">
            <v>0</v>
          </cell>
          <cell r="E16">
            <v>433000</v>
          </cell>
          <cell r="F16">
            <v>0</v>
          </cell>
          <cell r="G16">
            <v>0</v>
          </cell>
          <cell r="H16">
            <v>32000</v>
          </cell>
        </row>
        <row r="17">
          <cell r="C17" t="str">
            <v>Middle</v>
          </cell>
          <cell r="D17">
            <v>0</v>
          </cell>
          <cell r="E17">
            <v>19468800</v>
          </cell>
          <cell r="F17">
            <v>1490000</v>
          </cell>
          <cell r="G17">
            <v>0</v>
          </cell>
          <cell r="H17">
            <v>7125000</v>
          </cell>
        </row>
        <row r="18">
          <cell r="C18" t="str">
            <v>Better Off</v>
          </cell>
          <cell r="D18">
            <v>10926008</v>
          </cell>
          <cell r="E18">
            <v>4231650</v>
          </cell>
          <cell r="F18">
            <v>1484000</v>
          </cell>
          <cell r="G18">
            <v>0</v>
          </cell>
          <cell r="H18">
            <v>0</v>
          </cell>
        </row>
      </sheetData>
      <sheetData sheetId="4">
        <row r="1">
          <cell r="A1" t="str">
            <v>LZ</v>
          </cell>
          <cell r="B1" t="str">
            <v>Community</v>
          </cell>
          <cell r="C1" t="str">
            <v>Wealthgroup</v>
          </cell>
          <cell r="D1" t="str">
            <v>Crop Food Income</v>
          </cell>
          <cell r="E1" t="str">
            <v>Employment Food Income</v>
          </cell>
          <cell r="F1" t="str">
            <v>Livestock Food Income</v>
          </cell>
          <cell r="G1" t="str">
            <v>Transfer Food Income</v>
          </cell>
          <cell r="H1" t="str">
            <v>Wildfood Food Income</v>
          </cell>
        </row>
        <row r="3">
          <cell r="B3" t="str">
            <v>Averages</v>
          </cell>
          <cell r="C3" t="str">
            <v>Poor</v>
          </cell>
          <cell r="D3">
            <v>3123901</v>
          </cell>
          <cell r="E3">
            <v>0</v>
          </cell>
          <cell r="F3">
            <v>0</v>
          </cell>
          <cell r="G3">
            <v>0</v>
          </cell>
          <cell r="H3">
            <v>428310</v>
          </cell>
        </row>
        <row r="4">
          <cell r="C4" t="str">
            <v>Middle</v>
          </cell>
          <cell r="D4">
            <v>2310255</v>
          </cell>
          <cell r="E4">
            <v>0</v>
          </cell>
          <cell r="F4">
            <v>22400</v>
          </cell>
          <cell r="G4">
            <v>0</v>
          </cell>
          <cell r="H4">
            <v>978785</v>
          </cell>
        </row>
        <row r="5">
          <cell r="C5" t="str">
            <v>Better Off</v>
          </cell>
          <cell r="D5">
            <v>4802821.5</v>
          </cell>
          <cell r="E5">
            <v>0</v>
          </cell>
          <cell r="F5">
            <v>115200</v>
          </cell>
          <cell r="G5">
            <v>0</v>
          </cell>
          <cell r="H5">
            <v>42480</v>
          </cell>
        </row>
        <row r="7">
          <cell r="A7" t="str">
            <v>Banana Coffee Piggery</v>
          </cell>
          <cell r="B7" t="str">
            <v>Mukono Butere</v>
          </cell>
          <cell r="C7" t="str">
            <v>Poor</v>
          </cell>
          <cell r="D7">
            <v>7345608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</row>
        <row r="8">
          <cell r="C8" t="str">
            <v>Middle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490200</v>
          </cell>
        </row>
        <row r="9">
          <cell r="C9" t="str">
            <v>Better Off</v>
          </cell>
          <cell r="D9">
            <v>8140076</v>
          </cell>
          <cell r="E9">
            <v>0</v>
          </cell>
          <cell r="F9">
            <v>0</v>
          </cell>
          <cell r="G9">
            <v>0</v>
          </cell>
          <cell r="H9">
            <v>144000</v>
          </cell>
        </row>
        <row r="10">
          <cell r="B10" t="str">
            <v>Mukono Lusera</v>
          </cell>
          <cell r="C10" t="str">
            <v>Poor</v>
          </cell>
          <cell r="D10">
            <v>2686896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</row>
        <row r="11">
          <cell r="C11" t="str">
            <v>Middle</v>
          </cell>
          <cell r="D11">
            <v>3675860</v>
          </cell>
          <cell r="E11">
            <v>0</v>
          </cell>
          <cell r="F11">
            <v>0</v>
          </cell>
          <cell r="G11">
            <v>0</v>
          </cell>
          <cell r="H11">
            <v>1616760</v>
          </cell>
        </row>
        <row r="12">
          <cell r="C12" t="str">
            <v>Better Off</v>
          </cell>
          <cell r="D12">
            <v>2936550</v>
          </cell>
          <cell r="E12">
            <v>0</v>
          </cell>
          <cell r="F12">
            <v>0</v>
          </cell>
          <cell r="G12">
            <v>0</v>
          </cell>
          <cell r="H12">
            <v>25920</v>
          </cell>
        </row>
        <row r="13">
          <cell r="B13" t="str">
            <v>Mukono Nakisunga</v>
          </cell>
          <cell r="C13" t="str">
            <v>Poor</v>
          </cell>
          <cell r="D13">
            <v>2463100</v>
          </cell>
          <cell r="E13">
            <v>0</v>
          </cell>
          <cell r="F13">
            <v>0</v>
          </cell>
          <cell r="G13">
            <v>0</v>
          </cell>
          <cell r="H13">
            <v>1616760</v>
          </cell>
        </row>
        <row r="14">
          <cell r="C14" t="str">
            <v>Middle</v>
          </cell>
          <cell r="D14">
            <v>5565160</v>
          </cell>
          <cell r="E14">
            <v>0</v>
          </cell>
          <cell r="F14">
            <v>0</v>
          </cell>
          <cell r="G14">
            <v>0</v>
          </cell>
          <cell r="H14">
            <v>1374660</v>
          </cell>
        </row>
        <row r="15">
          <cell r="C15" t="str">
            <v>Better Off</v>
          </cell>
          <cell r="D15">
            <v>4111380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</row>
        <row r="16">
          <cell r="B16" t="str">
            <v>Mukono Ntenjeru</v>
          </cell>
          <cell r="C16" t="str">
            <v>Poor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96480</v>
          </cell>
        </row>
        <row r="17">
          <cell r="C17" t="str">
            <v>Middle</v>
          </cell>
          <cell r="D17">
            <v>0</v>
          </cell>
          <cell r="E17">
            <v>0</v>
          </cell>
          <cell r="F17">
            <v>89600</v>
          </cell>
          <cell r="G17">
            <v>0</v>
          </cell>
          <cell r="H17">
            <v>433520</v>
          </cell>
        </row>
        <row r="18">
          <cell r="C18" t="str">
            <v>Better Off</v>
          </cell>
          <cell r="D18">
            <v>4023280</v>
          </cell>
          <cell r="E18">
            <v>0</v>
          </cell>
          <cell r="F18">
            <v>460800</v>
          </cell>
          <cell r="G18">
            <v>0</v>
          </cell>
          <cell r="H18">
            <v>0</v>
          </cell>
        </row>
      </sheetData>
      <sheetData sheetId="5">
        <row r="2">
          <cell r="B2" t="str">
            <v>Acre</v>
          </cell>
        </row>
        <row r="4">
          <cell r="B4" t="str">
            <v>Community</v>
          </cell>
          <cell r="C4" t="str">
            <v>Wealthgroup</v>
          </cell>
          <cell r="D4" t="str">
            <v>Upland</v>
          </cell>
          <cell r="E4" t="str">
            <v>Wetland</v>
          </cell>
        </row>
        <row r="6">
          <cell r="B6" t="str">
            <v>Averages</v>
          </cell>
          <cell r="C6" t="str">
            <v>Poor</v>
          </cell>
          <cell r="D6">
            <v>0.5</v>
          </cell>
          <cell r="E6">
            <v>1.75</v>
          </cell>
        </row>
        <row r="7">
          <cell r="C7" t="str">
            <v>Middle</v>
          </cell>
          <cell r="D7">
            <v>5.875</v>
          </cell>
          <cell r="E7">
            <v>1</v>
          </cell>
        </row>
        <row r="8">
          <cell r="C8" t="str">
            <v>Better Off</v>
          </cell>
          <cell r="D8">
            <v>6.5</v>
          </cell>
          <cell r="E8">
            <v>0</v>
          </cell>
        </row>
        <row r="10">
          <cell r="A10" t="str">
            <v>Banana Coffee Piggery</v>
          </cell>
          <cell r="B10" t="str">
            <v>Mukono Butere</v>
          </cell>
          <cell r="C10" t="str">
            <v>Poor</v>
          </cell>
          <cell r="D10">
            <v>0.5</v>
          </cell>
          <cell r="E10">
            <v>7</v>
          </cell>
        </row>
        <row r="11">
          <cell r="C11" t="str">
            <v>Middle</v>
          </cell>
          <cell r="D11">
            <v>10</v>
          </cell>
          <cell r="E11">
            <v>4</v>
          </cell>
        </row>
        <row r="12">
          <cell r="C12" t="str">
            <v>Better Off</v>
          </cell>
          <cell r="D12">
            <v>1</v>
          </cell>
          <cell r="E12">
            <v>0</v>
          </cell>
        </row>
        <row r="13">
          <cell r="B13" t="str">
            <v>Mukono Lusera</v>
          </cell>
          <cell r="C13" t="str">
            <v>Poor</v>
          </cell>
          <cell r="D13">
            <v>1</v>
          </cell>
          <cell r="E13">
            <v>0</v>
          </cell>
        </row>
        <row r="14">
          <cell r="C14" t="str">
            <v>Middle</v>
          </cell>
          <cell r="D14">
            <v>0.5</v>
          </cell>
          <cell r="E14">
            <v>0</v>
          </cell>
        </row>
        <row r="15">
          <cell r="C15" t="str">
            <v>Better Off</v>
          </cell>
          <cell r="D15">
            <v>8</v>
          </cell>
          <cell r="E15">
            <v>0</v>
          </cell>
        </row>
        <row r="16">
          <cell r="B16" t="str">
            <v>Mukono Nakisunga</v>
          </cell>
          <cell r="C16" t="str">
            <v>Poor</v>
          </cell>
          <cell r="D16">
            <v>0.5</v>
          </cell>
          <cell r="E16">
            <v>0</v>
          </cell>
        </row>
        <row r="17">
          <cell r="C17" t="str">
            <v>Middle</v>
          </cell>
          <cell r="D17">
            <v>3</v>
          </cell>
          <cell r="E17">
            <v>0</v>
          </cell>
        </row>
        <row r="18">
          <cell r="C18" t="str">
            <v>Better Off</v>
          </cell>
          <cell r="D18">
            <v>7</v>
          </cell>
          <cell r="E18">
            <v>0</v>
          </cell>
        </row>
        <row r="19">
          <cell r="B19" t="str">
            <v>Mukono Ntenjeru</v>
          </cell>
          <cell r="C19" t="str">
            <v>Poor</v>
          </cell>
          <cell r="D19">
            <v>0</v>
          </cell>
          <cell r="E19">
            <v>0</v>
          </cell>
        </row>
        <row r="20">
          <cell r="C20" t="str">
            <v>Middle</v>
          </cell>
          <cell r="D20">
            <v>10</v>
          </cell>
          <cell r="E20">
            <v>0</v>
          </cell>
        </row>
        <row r="21">
          <cell r="C21" t="str">
            <v>Better Off</v>
          </cell>
          <cell r="D21">
            <v>10</v>
          </cell>
          <cell r="E21">
            <v>0</v>
          </cell>
        </row>
      </sheetData>
      <sheetData sheetId="6">
        <row r="4">
          <cell r="A4" t="str">
            <v>LZ</v>
          </cell>
          <cell r="B4" t="str">
            <v>Community</v>
          </cell>
          <cell r="C4" t="str">
            <v>Wealthgroup</v>
          </cell>
          <cell r="D4" t="str">
            <v>Cattle</v>
          </cell>
          <cell r="E4" t="str">
            <v>Pig</v>
          </cell>
          <cell r="F4" t="str">
            <v>Chicken</v>
          </cell>
          <cell r="G4" t="str">
            <v>Goat</v>
          </cell>
          <cell r="H4" t="str">
            <v>Chicken, local</v>
          </cell>
          <cell r="I4" t="str">
            <v>Cow, dairy</v>
          </cell>
        </row>
        <row r="6">
          <cell r="B6" t="str">
            <v>Averages</v>
          </cell>
          <cell r="C6" t="str">
            <v>Poor</v>
          </cell>
          <cell r="D6">
            <v>0</v>
          </cell>
          <cell r="E6">
            <v>1.5</v>
          </cell>
          <cell r="F6">
            <v>4.5</v>
          </cell>
          <cell r="G6">
            <v>0.25</v>
          </cell>
          <cell r="H6">
            <v>0</v>
          </cell>
          <cell r="I6">
            <v>0</v>
          </cell>
        </row>
        <row r="7">
          <cell r="C7" t="str">
            <v>Middle</v>
          </cell>
          <cell r="D7">
            <v>1</v>
          </cell>
          <cell r="E7">
            <v>4.5</v>
          </cell>
          <cell r="F7">
            <v>4.25</v>
          </cell>
          <cell r="G7">
            <v>2</v>
          </cell>
          <cell r="H7">
            <v>2.5</v>
          </cell>
          <cell r="I7">
            <v>0.75</v>
          </cell>
        </row>
        <row r="8">
          <cell r="C8" t="str">
            <v>Better Off</v>
          </cell>
          <cell r="D8">
            <v>1.75</v>
          </cell>
          <cell r="E8">
            <v>12</v>
          </cell>
          <cell r="F8">
            <v>100.25</v>
          </cell>
          <cell r="G8">
            <v>18.25</v>
          </cell>
          <cell r="H8">
            <v>5.5</v>
          </cell>
          <cell r="I8">
            <v>0</v>
          </cell>
        </row>
        <row r="10">
          <cell r="B10" t="str">
            <v>Mukono Butere</v>
          </cell>
          <cell r="C10" t="str">
            <v>Poor</v>
          </cell>
          <cell r="D10">
            <v>0</v>
          </cell>
          <cell r="E10">
            <v>0</v>
          </cell>
          <cell r="F10">
            <v>6</v>
          </cell>
          <cell r="G10">
            <v>0</v>
          </cell>
          <cell r="H10">
            <v>0</v>
          </cell>
          <cell r="I10">
            <v>0</v>
          </cell>
        </row>
        <row r="11">
          <cell r="C11" t="str">
            <v>Middle</v>
          </cell>
          <cell r="D11">
            <v>2</v>
          </cell>
          <cell r="E11">
            <v>3</v>
          </cell>
          <cell r="F11">
            <v>6</v>
          </cell>
          <cell r="G11">
            <v>3</v>
          </cell>
          <cell r="H11">
            <v>0</v>
          </cell>
          <cell r="I11">
            <v>0</v>
          </cell>
        </row>
        <row r="12">
          <cell r="C12" t="str">
            <v>Better Off</v>
          </cell>
          <cell r="D12">
            <v>0</v>
          </cell>
          <cell r="E12">
            <v>14</v>
          </cell>
          <cell r="F12">
            <v>13</v>
          </cell>
          <cell r="G12">
            <v>0</v>
          </cell>
          <cell r="H12">
            <v>0</v>
          </cell>
          <cell r="I12">
            <v>0</v>
          </cell>
        </row>
        <row r="13">
          <cell r="B13" t="str">
            <v>Mukono Lusera</v>
          </cell>
          <cell r="C13" t="str">
            <v>Poor</v>
          </cell>
          <cell r="D13">
            <v>0</v>
          </cell>
          <cell r="E13">
            <v>0</v>
          </cell>
          <cell r="F13">
            <v>4</v>
          </cell>
          <cell r="G13">
            <v>0</v>
          </cell>
          <cell r="H13">
            <v>0</v>
          </cell>
          <cell r="I13">
            <v>0</v>
          </cell>
        </row>
        <row r="14">
          <cell r="C14" t="str">
            <v>Middle</v>
          </cell>
          <cell r="D14">
            <v>0</v>
          </cell>
          <cell r="E14">
            <v>6</v>
          </cell>
          <cell r="F14">
            <v>5</v>
          </cell>
          <cell r="G14">
            <v>0</v>
          </cell>
          <cell r="H14">
            <v>0</v>
          </cell>
          <cell r="I14">
            <v>0</v>
          </cell>
        </row>
        <row r="15">
          <cell r="C15" t="str">
            <v>Better Off</v>
          </cell>
          <cell r="D15">
            <v>0</v>
          </cell>
          <cell r="E15">
            <v>18</v>
          </cell>
          <cell r="F15">
            <v>350</v>
          </cell>
          <cell r="G15">
            <v>60</v>
          </cell>
          <cell r="H15">
            <v>22</v>
          </cell>
          <cell r="I15">
            <v>0</v>
          </cell>
        </row>
        <row r="16">
          <cell r="B16" t="str">
            <v>Mukono Nakisunga</v>
          </cell>
          <cell r="C16" t="str">
            <v>Poor</v>
          </cell>
          <cell r="D16">
            <v>0</v>
          </cell>
          <cell r="E16">
            <v>6</v>
          </cell>
          <cell r="F16">
            <v>5</v>
          </cell>
          <cell r="G16">
            <v>0</v>
          </cell>
          <cell r="H16">
            <v>0</v>
          </cell>
          <cell r="I16">
            <v>0</v>
          </cell>
        </row>
        <row r="17">
          <cell r="C17" t="str">
            <v>Middle</v>
          </cell>
          <cell r="D17">
            <v>0</v>
          </cell>
          <cell r="E17">
            <v>6</v>
          </cell>
          <cell r="F17">
            <v>0</v>
          </cell>
          <cell r="G17">
            <v>2</v>
          </cell>
          <cell r="H17">
            <v>10</v>
          </cell>
          <cell r="I17">
            <v>3</v>
          </cell>
        </row>
        <row r="18">
          <cell r="C18" t="str">
            <v>Better Off</v>
          </cell>
          <cell r="D18">
            <v>4</v>
          </cell>
          <cell r="E18">
            <v>12</v>
          </cell>
          <cell r="F18">
            <v>25</v>
          </cell>
          <cell r="G18">
            <v>8</v>
          </cell>
          <cell r="H18">
            <v>0</v>
          </cell>
          <cell r="I18">
            <v>0</v>
          </cell>
        </row>
        <row r="19">
          <cell r="B19" t="str">
            <v>Mukono Ntenjeru</v>
          </cell>
          <cell r="C19" t="str">
            <v>Poor</v>
          </cell>
          <cell r="D19">
            <v>0</v>
          </cell>
          <cell r="E19">
            <v>0</v>
          </cell>
          <cell r="F19">
            <v>3</v>
          </cell>
          <cell r="G19">
            <v>1</v>
          </cell>
          <cell r="H19">
            <v>0</v>
          </cell>
          <cell r="I19">
            <v>0</v>
          </cell>
        </row>
        <row r="20">
          <cell r="C20" t="str">
            <v>Middle</v>
          </cell>
          <cell r="D20">
            <v>2</v>
          </cell>
          <cell r="E20">
            <v>3</v>
          </cell>
          <cell r="F20">
            <v>6</v>
          </cell>
          <cell r="G20">
            <v>3</v>
          </cell>
          <cell r="H20">
            <v>0</v>
          </cell>
          <cell r="I20">
            <v>0</v>
          </cell>
        </row>
        <row r="21">
          <cell r="C21" t="str">
            <v>Better Off</v>
          </cell>
          <cell r="D21">
            <v>3</v>
          </cell>
          <cell r="E21">
            <v>4</v>
          </cell>
          <cell r="F21">
            <v>13</v>
          </cell>
          <cell r="G21">
            <v>5</v>
          </cell>
          <cell r="H21">
            <v>0</v>
          </cell>
          <cell r="I21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9BA6A-F619-BD42-AC51-3BC55F8BA9E2}">
  <sheetPr codeName="Sheet1"/>
  <dimension ref="A2:J151"/>
  <sheetViews>
    <sheetView showGridLines="0" showRowColHeaders="0" tabSelected="1" workbookViewId="0">
      <selection activeCell="A40" sqref="A40"/>
    </sheetView>
  </sheetViews>
  <sheetFormatPr baseColWidth="10" defaultRowHeight="19"/>
  <cols>
    <col min="1" max="1" width="27.83203125" style="18" customWidth="1"/>
    <col min="2" max="2" width="9.5" style="13" customWidth="1"/>
    <col min="3" max="3" width="65.83203125" style="31" customWidth="1"/>
    <col min="4" max="4" width="9.5" style="8" hidden="1" customWidth="1"/>
    <col min="5" max="5" width="23.83203125" customWidth="1"/>
    <col min="6" max="6" width="22.83203125" customWidth="1"/>
    <col min="7" max="7" width="35.5" style="24" customWidth="1"/>
    <col min="8" max="8" width="35.83203125" style="25" hidden="1" customWidth="1"/>
    <col min="9" max="9" width="22.1640625" hidden="1" customWidth="1"/>
  </cols>
  <sheetData>
    <row r="2" spans="1:10">
      <c r="A2" s="19" t="s">
        <v>0</v>
      </c>
      <c r="B2" s="11"/>
      <c r="C2" s="33">
        <f>'[1]Custom Report Spec'!$B$1</f>
        <v>43828.745497754629</v>
      </c>
      <c r="D2" s="7"/>
    </row>
    <row r="3" spans="1:10">
      <c r="A3" s="19" t="s">
        <v>1</v>
      </c>
      <c r="B3" s="11"/>
      <c r="C3" s="30" t="str">
        <f>'[1]Custom Report Spec'!$B$2</f>
        <v>All Reports</v>
      </c>
      <c r="D3" s="7"/>
    </row>
    <row r="4" spans="1:10">
      <c r="A4" s="19" t="s">
        <v>2</v>
      </c>
      <c r="B4" s="11"/>
      <c r="C4" s="30" t="str">
        <f>SUBSTITUTE($D$4,C5,"    ")</f>
        <v>Mukono - New Test / Banana Coffee Piggery</v>
      </c>
      <c r="D4" s="7" t="str">
        <f>'[1]Custom Report Spec'!$B$3</f>
        <v>Mukono - New Test / Banana Coffee Piggery</v>
      </c>
    </row>
    <row r="5" spans="1:10">
      <c r="A5" s="19" t="s">
        <v>4</v>
      </c>
      <c r="B5" s="11"/>
      <c r="C5" s="30"/>
      <c r="D5" s="7"/>
      <c r="F5" s="29" t="s">
        <v>10</v>
      </c>
    </row>
    <row r="6" spans="1:10" ht="21" customHeight="1">
      <c r="A6" s="20" t="s">
        <v>3</v>
      </c>
      <c r="B6" s="12"/>
      <c r="C6" s="30" t="str">
        <f>'[1]Custom Report Spec'!$B$4</f>
        <v>UGX</v>
      </c>
      <c r="D6" s="7"/>
      <c r="F6" s="29" t="s">
        <v>11</v>
      </c>
    </row>
    <row r="7" spans="1:10" ht="21" customHeight="1">
      <c r="A7" s="20" t="s">
        <v>29</v>
      </c>
      <c r="B7" s="12"/>
      <c r="C7" s="30"/>
      <c r="D7" s="7"/>
      <c r="F7" s="29"/>
    </row>
    <row r="8" spans="1:10">
      <c r="A8" s="16"/>
      <c r="B8" s="11"/>
      <c r="C8" s="30"/>
      <c r="D8" s="7"/>
    </row>
    <row r="9" spans="1:10">
      <c r="A9" s="17" t="s">
        <v>6</v>
      </c>
      <c r="B9" s="12"/>
      <c r="C9" s="30" t="str">
        <f>'[1]Custom Report Spec'!$B7</f>
        <v>Community Disposable Income (DI) by Wealth Group, in order of Wealth Group</v>
      </c>
      <c r="D9" s="7"/>
      <c r="F9" s="22" t="s">
        <v>5</v>
      </c>
      <c r="G9" s="24" t="str">
        <f>IF(AND('[1]Custom Report Spec'!$D$7="",'[1]Custom Report Spec'!$E$7="",'[1]Custom Report Spec'!$F$7=""),"None","Yes")</f>
        <v>None</v>
      </c>
      <c r="H9" s="26" t="s">
        <v>9</v>
      </c>
      <c r="I9" t="e">
        <v>#VALUE!</v>
      </c>
      <c r="J9" s="28" t="s">
        <v>13</v>
      </c>
    </row>
    <row r="10" spans="1:10">
      <c r="A10" s="16"/>
      <c r="B10" s="11"/>
      <c r="C10" s="30" t="str">
        <f>'[1]Custom Report Spec'!$B8</f>
        <v>Community DI with Standard of Living adjustment, by order of WG</v>
      </c>
      <c r="D10" s="7"/>
      <c r="F10" s="23" t="s">
        <v>7</v>
      </c>
      <c r="G10" s="24" t="str">
        <f>IF('[1]Custom Report Spec'!$G$7="","None","Yes")</f>
        <v>None</v>
      </c>
      <c r="H10" s="1" t="s">
        <v>12</v>
      </c>
      <c r="I10" t="e">
        <v>#VALUE!</v>
      </c>
      <c r="J10" s="28" t="s">
        <v>13</v>
      </c>
    </row>
    <row r="11" spans="1:10">
      <c r="A11" s="16"/>
      <c r="B11" s="11"/>
      <c r="C11" s="30" t="str">
        <f>'[1]Custom Report Spec'!$B9</f>
        <v>Community Cash Income</v>
      </c>
      <c r="D11" s="7"/>
      <c r="F11" s="23"/>
      <c r="H11" s="27" t="s">
        <v>8</v>
      </c>
      <c r="I11" t="e">
        <f>DI_No_of_HHs</f>
        <v>#NAME?</v>
      </c>
      <c r="J11" s="28"/>
    </row>
    <row r="12" spans="1:10">
      <c r="A12" s="16"/>
      <c r="B12" s="11"/>
      <c r="C12" s="30" t="str">
        <f>'[1]Custom Report Spec'!$B10</f>
        <v>Community Food Income by in order of WG</v>
      </c>
      <c r="D12" s="7"/>
      <c r="H12" s="27"/>
    </row>
    <row r="13" spans="1:10">
      <c r="A13" s="16"/>
      <c r="B13" s="11"/>
      <c r="C13" s="30" t="str">
        <f>'[1]Custom Report Spec'!$B11</f>
        <v>Community Land Assets in order of WG</v>
      </c>
      <c r="D13" s="7"/>
      <c r="H13" s="27"/>
    </row>
    <row r="14" spans="1:10">
      <c r="A14" s="16"/>
      <c r="B14" s="11"/>
      <c r="C14" s="30" t="str">
        <f>'[1]Custom Report Spec'!$B12</f>
        <v>Community Livestock Assets in order of WG</v>
      </c>
      <c r="D14" s="7"/>
      <c r="G14" s="24" t="str">
        <f>IF('[1]Custom Report Spec'!$I10="","",'[1]Custom Report Spec'!$I10)</f>
        <v/>
      </c>
      <c r="H14" s="27"/>
    </row>
    <row r="15" spans="1:10">
      <c r="D15" s="7"/>
      <c r="G15" s="24" t="str">
        <f>IF('[1]Custom Report Spec'!$I14="","",'[1]Custom Report Spec'!$I14)</f>
        <v/>
      </c>
      <c r="H15" s="25" t="str">
        <f>IF(G15="","",'[1]Custom Report Spec'!$J14)</f>
        <v/>
      </c>
    </row>
    <row r="16" spans="1:10">
      <c r="B16" s="21"/>
      <c r="C16" s="32"/>
      <c r="D16" s="7"/>
      <c r="G16" s="24" t="str">
        <f>IF('[1]Custom Report Spec'!$I15="","",'[1]Custom Report Spec'!$I15)</f>
        <v/>
      </c>
      <c r="H16" s="25" t="str">
        <f>IF(G16="","",'[1]Custom Report Spec'!$J15)</f>
        <v/>
      </c>
    </row>
    <row r="17" spans="1:8">
      <c r="A17" s="18" t="str">
        <f>CONCATENATE("Communities (",DI_No_of_WGs/3,") :")</f>
        <v>Communities (4) :</v>
      </c>
      <c r="B17" s="10"/>
      <c r="C17" s="9" t="str">
        <f>$D17</f>
        <v>Mukono Butere</v>
      </c>
      <c r="D17" s="9" t="str">
        <f>IF('[1]Custom Report Spec'!$C7="","",'[1]Custom Report Spec'!$C7)</f>
        <v>Mukono Butere</v>
      </c>
      <c r="G17" s="24" t="str">
        <f>IF('[1]Custom Report Spec'!$I16="","",'[1]Custom Report Spec'!$I16)</f>
        <v/>
      </c>
      <c r="H17" s="25" t="str">
        <f>IF(G17="","",'[1]Custom Report Spec'!$J16)</f>
        <v/>
      </c>
    </row>
    <row r="18" spans="1:8">
      <c r="B18" s="10"/>
      <c r="C18" s="9" t="str">
        <f>$D18</f>
        <v>Mukono Lusera</v>
      </c>
      <c r="D18" s="9" t="str">
        <f>IF('[1]Custom Report Spec'!$C8="","",'[1]Custom Report Spec'!$C8)</f>
        <v>Mukono Lusera</v>
      </c>
      <c r="G18" s="24" t="str">
        <f>IF('[1]Custom Report Spec'!$I17="","",'[1]Custom Report Spec'!$I17)</f>
        <v/>
      </c>
      <c r="H18" s="25" t="str">
        <f>IF(G18="","",'[1]Custom Report Spec'!$J17)</f>
        <v/>
      </c>
    </row>
    <row r="19" spans="1:8">
      <c r="B19" s="10"/>
      <c r="C19" s="9" t="str">
        <f>$D19</f>
        <v>Mukono Nakisunga</v>
      </c>
      <c r="D19" s="9" t="str">
        <f>IF('[1]Custom Report Spec'!$C9="","",'[1]Custom Report Spec'!$C9)</f>
        <v>Mukono Nakisunga</v>
      </c>
      <c r="G19" s="24" t="str">
        <f>IF('[1]Custom Report Spec'!$I18="","",'[1]Custom Report Spec'!$I18)</f>
        <v/>
      </c>
      <c r="H19" s="25" t="str">
        <f>IF(G19="","",'[1]Custom Report Spec'!$J18)</f>
        <v/>
      </c>
    </row>
    <row r="20" spans="1:8">
      <c r="B20" s="10"/>
      <c r="C20" s="9" t="str">
        <f>$D20</f>
        <v>Mukono Ntenjeru</v>
      </c>
      <c r="D20" s="9" t="str">
        <f>IF('[1]Custom Report Spec'!$C10="","",'[1]Custom Report Spec'!$C10)</f>
        <v>Mukono Ntenjeru</v>
      </c>
      <c r="F20" s="2"/>
      <c r="G20" s="24" t="str">
        <f>IF('[1]Custom Report Spec'!$I19="","",'[1]Custom Report Spec'!$I19)</f>
        <v/>
      </c>
      <c r="H20" s="25" t="str">
        <f>IF(G20="","",'[1]Custom Report Spec'!$J19)</f>
        <v/>
      </c>
    </row>
    <row r="21" spans="1:8">
      <c r="B21" s="10"/>
      <c r="C21" s="9" t="str">
        <f t="shared" ref="C21:C84" si="0">$D21</f>
        <v/>
      </c>
      <c r="D21" s="9" t="str">
        <f>IF('[1]Custom Report Spec'!$C11="","",'[1]Custom Report Spec'!$C11)</f>
        <v/>
      </c>
      <c r="G21" s="24" t="str">
        <f>IF('[1]Custom Report Spec'!$I20="","",'[1]Custom Report Spec'!$I20)</f>
        <v/>
      </c>
      <c r="H21" s="25" t="str">
        <f>IF(G21="","",'[1]Custom Report Spec'!$J20)</f>
        <v/>
      </c>
    </row>
    <row r="22" spans="1:8">
      <c r="B22" s="10"/>
      <c r="C22" s="9" t="str">
        <f t="shared" si="0"/>
        <v/>
      </c>
      <c r="D22" s="9" t="str">
        <f>IF('[1]Custom Report Spec'!$C12="","",'[1]Custom Report Spec'!$C12)</f>
        <v/>
      </c>
      <c r="G22" s="24" t="str">
        <f>IF('[1]Custom Report Spec'!$I21="","",'[1]Custom Report Spec'!$I21)</f>
        <v/>
      </c>
      <c r="H22" s="25" t="str">
        <f>IF(G22="","",'[1]Custom Report Spec'!$J21)</f>
        <v/>
      </c>
    </row>
    <row r="23" spans="1:8">
      <c r="B23" s="10"/>
      <c r="C23" s="9" t="str">
        <f t="shared" si="0"/>
        <v/>
      </c>
      <c r="D23" s="9" t="str">
        <f>IF('[1]Custom Report Spec'!$C13="","",'[1]Custom Report Spec'!$C13)</f>
        <v/>
      </c>
      <c r="G23" s="24" t="str">
        <f>IF('[1]Custom Report Spec'!$I22="","",'[1]Custom Report Spec'!$I22)</f>
        <v/>
      </c>
      <c r="H23" s="25" t="str">
        <f>IF(G23="","",'[1]Custom Report Spec'!$J22)</f>
        <v/>
      </c>
    </row>
    <row r="24" spans="1:8">
      <c r="B24" s="10"/>
      <c r="C24" s="9" t="str">
        <f t="shared" si="0"/>
        <v/>
      </c>
      <c r="D24" s="9" t="str">
        <f>IF('[1]Custom Report Spec'!$C14="","",'[1]Custom Report Spec'!$C14)</f>
        <v/>
      </c>
      <c r="G24" s="24" t="str">
        <f>IF('[1]Custom Report Spec'!$I23="","",'[1]Custom Report Spec'!$I23)</f>
        <v/>
      </c>
      <c r="H24" s="25" t="str">
        <f>IF(G24="","",'[1]Custom Report Spec'!$J23)</f>
        <v/>
      </c>
    </row>
    <row r="25" spans="1:8">
      <c r="B25" s="10" t="str">
        <f t="shared" ref="B25:B81" si="1">IF($D25="","",LEFT($D25,FIND(" ",$D25,2)))</f>
        <v/>
      </c>
      <c r="C25" s="9" t="str">
        <f t="shared" si="0"/>
        <v/>
      </c>
      <c r="D25" s="9" t="str">
        <f>IF('[1]Custom Report Spec'!$C15="","",'[1]Custom Report Spec'!$C15)</f>
        <v/>
      </c>
      <c r="G25" s="24" t="str">
        <f>IF('[1]Custom Report Spec'!$I24="","",'[1]Custom Report Spec'!$I24)</f>
        <v/>
      </c>
      <c r="H25" s="25" t="str">
        <f>IF(G25="","",'[1]Custom Report Spec'!$J24)</f>
        <v/>
      </c>
    </row>
    <row r="26" spans="1:8">
      <c r="B26" s="10" t="str">
        <f t="shared" si="1"/>
        <v/>
      </c>
      <c r="C26" s="9" t="str">
        <f t="shared" si="0"/>
        <v/>
      </c>
      <c r="D26" s="9" t="str">
        <f>IF('[1]Custom Report Spec'!$C16="","",'[1]Custom Report Spec'!$C16)</f>
        <v/>
      </c>
      <c r="G26" s="24" t="str">
        <f>IF('[1]Custom Report Spec'!$I25="","",'[1]Custom Report Spec'!$I25)</f>
        <v/>
      </c>
      <c r="H26" s="25" t="str">
        <f>IF(G26="","",'[1]Custom Report Spec'!$J25)</f>
        <v/>
      </c>
    </row>
    <row r="27" spans="1:8">
      <c r="B27" s="10" t="str">
        <f t="shared" si="1"/>
        <v/>
      </c>
      <c r="C27" s="9" t="str">
        <f t="shared" si="0"/>
        <v/>
      </c>
      <c r="D27" s="9" t="str">
        <f>IF('[1]Custom Report Spec'!$C17="","",'[1]Custom Report Spec'!$C17)</f>
        <v/>
      </c>
      <c r="G27" s="24" t="str">
        <f>IF('[1]Custom Report Spec'!$I26="","",'[1]Custom Report Spec'!$I26)</f>
        <v/>
      </c>
      <c r="H27" s="25" t="str">
        <f>IF(G27="","",'[1]Custom Report Spec'!$J26)</f>
        <v/>
      </c>
    </row>
    <row r="28" spans="1:8">
      <c r="B28" s="10" t="str">
        <f t="shared" si="1"/>
        <v/>
      </c>
      <c r="C28" s="9" t="str">
        <f t="shared" si="0"/>
        <v/>
      </c>
      <c r="D28" s="9" t="str">
        <f>IF('[1]Custom Report Spec'!$C18="","",'[1]Custom Report Spec'!$C18)</f>
        <v/>
      </c>
      <c r="G28" s="24" t="str">
        <f>IF('[1]Custom Report Spec'!$I27="","",'[1]Custom Report Spec'!$I27)</f>
        <v/>
      </c>
      <c r="H28" s="25" t="str">
        <f>IF(G28="","",'[1]Custom Report Spec'!$J27)</f>
        <v/>
      </c>
    </row>
    <row r="29" spans="1:8">
      <c r="B29" s="10" t="str">
        <f t="shared" si="1"/>
        <v/>
      </c>
      <c r="C29" s="9" t="str">
        <f t="shared" si="0"/>
        <v/>
      </c>
      <c r="D29" s="9" t="str">
        <f>IF('[1]Custom Report Spec'!$C19="","",'[1]Custom Report Spec'!$C19)</f>
        <v/>
      </c>
      <c r="G29" s="24" t="str">
        <f>IF('[1]Custom Report Spec'!$I28="","",'[1]Custom Report Spec'!$I28)</f>
        <v/>
      </c>
      <c r="H29" s="25" t="str">
        <f>IF(G29="","",'[1]Custom Report Spec'!$J28)</f>
        <v/>
      </c>
    </row>
    <row r="30" spans="1:8">
      <c r="B30" s="10" t="str">
        <f t="shared" si="1"/>
        <v/>
      </c>
      <c r="C30" s="9" t="str">
        <f t="shared" si="0"/>
        <v/>
      </c>
      <c r="D30" s="9" t="str">
        <f>IF('[1]Custom Report Spec'!$C20="","",'[1]Custom Report Spec'!$C20)</f>
        <v/>
      </c>
      <c r="G30" s="24" t="str">
        <f>IF('[1]Custom Report Spec'!$I29="","",'[1]Custom Report Spec'!$I29)</f>
        <v/>
      </c>
    </row>
    <row r="31" spans="1:8">
      <c r="B31" s="10" t="str">
        <f t="shared" si="1"/>
        <v/>
      </c>
      <c r="C31" s="9" t="str">
        <f t="shared" si="0"/>
        <v/>
      </c>
      <c r="D31" s="9" t="str">
        <f>IF('[1]Custom Report Spec'!$C21="","",'[1]Custom Report Spec'!$C21)</f>
        <v/>
      </c>
      <c r="G31" s="24" t="str">
        <f>IF('[1]Custom Report Spec'!$I30="","",'[1]Custom Report Spec'!$I30)</f>
        <v/>
      </c>
    </row>
    <row r="32" spans="1:8">
      <c r="B32" s="10" t="str">
        <f t="shared" si="1"/>
        <v/>
      </c>
      <c r="C32" s="9" t="str">
        <f t="shared" si="0"/>
        <v/>
      </c>
      <c r="D32" s="9" t="str">
        <f>IF('[1]Custom Report Spec'!$C22="","",'[1]Custom Report Spec'!$C22)</f>
        <v/>
      </c>
      <c r="G32" s="24" t="str">
        <f>IF('[1]Custom Report Spec'!$I31="","",'[1]Custom Report Spec'!$I31)</f>
        <v/>
      </c>
    </row>
    <row r="33" spans="2:7">
      <c r="B33" s="10" t="str">
        <f t="shared" si="1"/>
        <v/>
      </c>
      <c r="C33" s="9" t="str">
        <f t="shared" si="0"/>
        <v/>
      </c>
      <c r="D33" s="9" t="str">
        <f>IF('[1]Custom Report Spec'!$C23="","",'[1]Custom Report Spec'!$C23)</f>
        <v/>
      </c>
      <c r="G33" s="24" t="str">
        <f>IF('[1]Custom Report Spec'!$I32="","",'[1]Custom Report Spec'!$I32)</f>
        <v/>
      </c>
    </row>
    <row r="34" spans="2:7">
      <c r="B34" s="10" t="str">
        <f t="shared" si="1"/>
        <v/>
      </c>
      <c r="C34" s="9" t="str">
        <f t="shared" si="0"/>
        <v/>
      </c>
      <c r="D34" s="9" t="str">
        <f>IF('[1]Custom Report Spec'!$C24="","",'[1]Custom Report Spec'!$C24)</f>
        <v/>
      </c>
      <c r="G34" s="24" t="str">
        <f>IF('[1]Custom Report Spec'!$I33="","",'[1]Custom Report Spec'!$I33)</f>
        <v/>
      </c>
    </row>
    <row r="35" spans="2:7">
      <c r="B35" s="10" t="str">
        <f t="shared" si="1"/>
        <v/>
      </c>
      <c r="C35" s="9" t="str">
        <f t="shared" si="0"/>
        <v/>
      </c>
      <c r="D35" s="9" t="str">
        <f>IF('[1]Custom Report Spec'!$C25="","",'[1]Custom Report Spec'!$C25)</f>
        <v/>
      </c>
      <c r="G35" s="24" t="str">
        <f>IF('[1]Custom Report Spec'!$I34="","",'[1]Custom Report Spec'!$I34)</f>
        <v/>
      </c>
    </row>
    <row r="36" spans="2:7">
      <c r="B36" s="10" t="str">
        <f t="shared" si="1"/>
        <v/>
      </c>
      <c r="C36" s="9" t="str">
        <f t="shared" si="0"/>
        <v/>
      </c>
      <c r="D36" s="9" t="str">
        <f>IF('[1]Custom Report Spec'!$C26="","",'[1]Custom Report Spec'!$C26)</f>
        <v/>
      </c>
      <c r="G36" s="24" t="str">
        <f>IF('[1]Custom Report Spec'!$I35="","",'[1]Custom Report Spec'!$I35)</f>
        <v/>
      </c>
    </row>
    <row r="37" spans="2:7">
      <c r="B37" s="10" t="str">
        <f t="shared" si="1"/>
        <v/>
      </c>
      <c r="C37" s="9" t="str">
        <f t="shared" si="0"/>
        <v/>
      </c>
      <c r="D37" s="9" t="str">
        <f>IF('[1]Custom Report Spec'!$C27="","",'[1]Custom Report Spec'!$C27)</f>
        <v/>
      </c>
      <c r="G37" s="24" t="str">
        <f>IF('[1]Custom Report Spec'!$I36="","",'[1]Custom Report Spec'!$I36)</f>
        <v/>
      </c>
    </row>
    <row r="38" spans="2:7">
      <c r="B38" s="10" t="str">
        <f t="shared" si="1"/>
        <v/>
      </c>
      <c r="C38" s="9" t="str">
        <f t="shared" si="0"/>
        <v/>
      </c>
      <c r="D38" s="9" t="str">
        <f>IF('[1]Custom Report Spec'!$C28="","",'[1]Custom Report Spec'!$C28)</f>
        <v/>
      </c>
      <c r="G38" s="24" t="str">
        <f>IF('[1]Custom Report Spec'!$I37="","",'[1]Custom Report Spec'!$I37)</f>
        <v/>
      </c>
    </row>
    <row r="39" spans="2:7">
      <c r="B39" s="10" t="str">
        <f t="shared" si="1"/>
        <v/>
      </c>
      <c r="C39" s="9" t="str">
        <f t="shared" si="0"/>
        <v/>
      </c>
      <c r="D39" s="9" t="str">
        <f>IF('[1]Custom Report Spec'!$C29="","",'[1]Custom Report Spec'!$C29)</f>
        <v/>
      </c>
      <c r="G39" s="24" t="str">
        <f>IF('[1]Custom Report Spec'!$I38="","",'[1]Custom Report Spec'!$I38)</f>
        <v/>
      </c>
    </row>
    <row r="40" spans="2:7">
      <c r="B40" s="10" t="str">
        <f t="shared" si="1"/>
        <v/>
      </c>
      <c r="C40" s="9" t="str">
        <f t="shared" si="0"/>
        <v/>
      </c>
      <c r="D40" s="9" t="str">
        <f>IF('[1]Custom Report Spec'!$C30="","",'[1]Custom Report Spec'!$C30)</f>
        <v/>
      </c>
      <c r="G40" s="24" t="str">
        <f>IF('[1]Custom Report Spec'!$I39="","",'[1]Custom Report Spec'!$I39)</f>
        <v/>
      </c>
    </row>
    <row r="41" spans="2:7">
      <c r="B41" s="10" t="str">
        <f t="shared" si="1"/>
        <v/>
      </c>
      <c r="C41" s="9" t="str">
        <f t="shared" si="0"/>
        <v/>
      </c>
      <c r="D41" s="9" t="str">
        <f>IF('[1]Custom Report Spec'!$C31="","",'[1]Custom Report Spec'!$C31)</f>
        <v/>
      </c>
    </row>
    <row r="42" spans="2:7">
      <c r="B42" s="10" t="str">
        <f t="shared" si="1"/>
        <v/>
      </c>
      <c r="C42" s="9" t="str">
        <f t="shared" si="0"/>
        <v/>
      </c>
      <c r="D42" s="9" t="str">
        <f>IF('[1]Custom Report Spec'!$C32="","",'[1]Custom Report Spec'!$C32)</f>
        <v/>
      </c>
    </row>
    <row r="43" spans="2:7">
      <c r="B43" s="10" t="str">
        <f t="shared" si="1"/>
        <v/>
      </c>
      <c r="C43" s="9" t="str">
        <f t="shared" si="0"/>
        <v/>
      </c>
      <c r="D43" s="9" t="str">
        <f>IF('[1]Custom Report Spec'!$C33="","",'[1]Custom Report Spec'!$C33)</f>
        <v/>
      </c>
    </row>
    <row r="44" spans="2:7">
      <c r="B44" s="10" t="str">
        <f t="shared" si="1"/>
        <v/>
      </c>
      <c r="C44" s="9" t="str">
        <f t="shared" si="0"/>
        <v/>
      </c>
      <c r="D44" s="9" t="str">
        <f>IF('[1]Custom Report Spec'!$C34="","",'[1]Custom Report Spec'!$C34)</f>
        <v/>
      </c>
    </row>
    <row r="45" spans="2:7">
      <c r="B45" s="10" t="str">
        <f t="shared" si="1"/>
        <v/>
      </c>
      <c r="C45" s="9" t="str">
        <f t="shared" si="0"/>
        <v/>
      </c>
      <c r="D45" s="9" t="str">
        <f>IF('[1]Custom Report Spec'!$C35="","",'[1]Custom Report Spec'!$C35)</f>
        <v/>
      </c>
    </row>
    <row r="46" spans="2:7">
      <c r="B46" s="10" t="str">
        <f t="shared" si="1"/>
        <v/>
      </c>
      <c r="C46" s="9" t="str">
        <f t="shared" si="0"/>
        <v/>
      </c>
      <c r="D46" s="9" t="str">
        <f>IF('[1]Custom Report Spec'!$C36="","",'[1]Custom Report Spec'!$C36)</f>
        <v/>
      </c>
    </row>
    <row r="47" spans="2:7">
      <c r="B47" s="10" t="str">
        <f t="shared" si="1"/>
        <v/>
      </c>
      <c r="C47" s="9" t="str">
        <f t="shared" si="0"/>
        <v/>
      </c>
      <c r="D47" s="9" t="str">
        <f>IF('[1]Custom Report Spec'!$C37="","",'[1]Custom Report Spec'!$C37)</f>
        <v/>
      </c>
    </row>
    <row r="48" spans="2:7">
      <c r="B48" s="10" t="str">
        <f t="shared" si="1"/>
        <v/>
      </c>
      <c r="C48" s="9" t="str">
        <f t="shared" si="0"/>
        <v/>
      </c>
      <c r="D48" s="9" t="str">
        <f>IF('[1]Custom Report Spec'!$C38="","",'[1]Custom Report Spec'!$C38)</f>
        <v/>
      </c>
    </row>
    <row r="49" spans="2:4">
      <c r="B49" s="10" t="str">
        <f t="shared" si="1"/>
        <v/>
      </c>
      <c r="C49" s="9" t="str">
        <f t="shared" si="0"/>
        <v/>
      </c>
      <c r="D49" s="9" t="str">
        <f>IF('[1]Custom Report Spec'!$C39="","",'[1]Custom Report Spec'!$C39)</f>
        <v/>
      </c>
    </row>
    <row r="50" spans="2:4">
      <c r="B50" s="10" t="str">
        <f t="shared" si="1"/>
        <v/>
      </c>
      <c r="C50" s="9" t="str">
        <f t="shared" si="0"/>
        <v/>
      </c>
      <c r="D50" s="9" t="str">
        <f>IF('[1]Custom Report Spec'!$C40="","",'[1]Custom Report Spec'!$C40)</f>
        <v/>
      </c>
    </row>
    <row r="51" spans="2:4">
      <c r="B51" s="10" t="str">
        <f t="shared" si="1"/>
        <v/>
      </c>
      <c r="C51" s="9" t="str">
        <f t="shared" si="0"/>
        <v/>
      </c>
      <c r="D51" s="9" t="str">
        <f>IF('[1]Custom Report Spec'!$C41="","",'[1]Custom Report Spec'!$C41)</f>
        <v/>
      </c>
    </row>
    <row r="52" spans="2:4">
      <c r="B52" s="10" t="str">
        <f t="shared" si="1"/>
        <v/>
      </c>
      <c r="C52" s="9" t="str">
        <f t="shared" si="0"/>
        <v/>
      </c>
      <c r="D52" s="9" t="str">
        <f>IF('[1]Custom Report Spec'!$C42="","",'[1]Custom Report Spec'!$C42)</f>
        <v/>
      </c>
    </row>
    <row r="53" spans="2:4">
      <c r="B53" s="10" t="str">
        <f t="shared" si="1"/>
        <v/>
      </c>
      <c r="C53" s="9" t="str">
        <f t="shared" si="0"/>
        <v/>
      </c>
      <c r="D53" s="9" t="str">
        <f>IF('[1]Custom Report Spec'!$C43="","",'[1]Custom Report Spec'!$C43)</f>
        <v/>
      </c>
    </row>
    <row r="54" spans="2:4">
      <c r="B54" s="10" t="str">
        <f t="shared" si="1"/>
        <v/>
      </c>
      <c r="C54" s="9" t="str">
        <f t="shared" si="0"/>
        <v/>
      </c>
      <c r="D54" s="9" t="str">
        <f>IF('[1]Custom Report Spec'!$C44="","",'[1]Custom Report Spec'!$C44)</f>
        <v/>
      </c>
    </row>
    <row r="55" spans="2:4">
      <c r="B55" s="10" t="str">
        <f t="shared" si="1"/>
        <v/>
      </c>
      <c r="C55" s="9" t="str">
        <f t="shared" si="0"/>
        <v/>
      </c>
      <c r="D55" s="9" t="str">
        <f>IF('[1]Custom Report Spec'!$C45="","",'[1]Custom Report Spec'!$C45)</f>
        <v/>
      </c>
    </row>
    <row r="56" spans="2:4">
      <c r="B56" s="10" t="str">
        <f t="shared" si="1"/>
        <v/>
      </c>
      <c r="C56" s="9" t="str">
        <f t="shared" si="0"/>
        <v/>
      </c>
      <c r="D56" s="9" t="str">
        <f>IF('[1]Custom Report Spec'!$C46="","",'[1]Custom Report Spec'!$C46)</f>
        <v/>
      </c>
    </row>
    <row r="57" spans="2:4">
      <c r="B57" s="10" t="str">
        <f t="shared" si="1"/>
        <v/>
      </c>
      <c r="C57" s="9" t="str">
        <f t="shared" si="0"/>
        <v/>
      </c>
      <c r="D57" s="9" t="str">
        <f>IF('[1]Custom Report Spec'!$C47="","",'[1]Custom Report Spec'!$C47)</f>
        <v/>
      </c>
    </row>
    <row r="58" spans="2:4">
      <c r="B58" s="10" t="str">
        <f t="shared" si="1"/>
        <v/>
      </c>
      <c r="C58" s="9" t="str">
        <f t="shared" si="0"/>
        <v/>
      </c>
      <c r="D58" s="9" t="str">
        <f>IF('[1]Custom Report Spec'!$C48="","",'[1]Custom Report Spec'!$C48)</f>
        <v/>
      </c>
    </row>
    <row r="59" spans="2:4">
      <c r="B59" s="10" t="str">
        <f t="shared" si="1"/>
        <v/>
      </c>
      <c r="C59" s="9" t="str">
        <f t="shared" si="0"/>
        <v/>
      </c>
      <c r="D59" s="9" t="str">
        <f>IF('[1]Custom Report Spec'!$C49="","",'[1]Custom Report Spec'!$C49)</f>
        <v/>
      </c>
    </row>
    <row r="60" spans="2:4">
      <c r="B60" s="10" t="str">
        <f t="shared" si="1"/>
        <v/>
      </c>
      <c r="C60" s="9" t="str">
        <f t="shared" si="0"/>
        <v/>
      </c>
      <c r="D60" s="9" t="str">
        <f>IF('[1]Custom Report Spec'!$C50="","",'[1]Custom Report Spec'!$C50)</f>
        <v/>
      </c>
    </row>
    <row r="61" spans="2:4">
      <c r="B61" s="10" t="str">
        <f t="shared" si="1"/>
        <v/>
      </c>
      <c r="C61" s="9" t="str">
        <f t="shared" si="0"/>
        <v/>
      </c>
      <c r="D61" s="9" t="str">
        <f>IF('[1]Custom Report Spec'!$C51="","",'[1]Custom Report Spec'!$C51)</f>
        <v/>
      </c>
    </row>
    <row r="62" spans="2:4">
      <c r="B62" s="10" t="str">
        <f t="shared" si="1"/>
        <v/>
      </c>
      <c r="C62" s="9" t="str">
        <f t="shared" si="0"/>
        <v/>
      </c>
      <c r="D62" s="9" t="str">
        <f>IF('[1]Custom Report Spec'!$C52="","",'[1]Custom Report Spec'!$C52)</f>
        <v/>
      </c>
    </row>
    <row r="63" spans="2:4">
      <c r="B63" s="10" t="str">
        <f t="shared" si="1"/>
        <v/>
      </c>
      <c r="C63" s="9" t="str">
        <f t="shared" si="0"/>
        <v/>
      </c>
      <c r="D63" s="9" t="str">
        <f>IF('[1]Custom Report Spec'!$C53="","",'[1]Custom Report Spec'!$C53)</f>
        <v/>
      </c>
    </row>
    <row r="64" spans="2:4">
      <c r="B64" s="10" t="str">
        <f t="shared" si="1"/>
        <v/>
      </c>
      <c r="C64" s="9" t="str">
        <f t="shared" si="0"/>
        <v/>
      </c>
      <c r="D64" s="9" t="str">
        <f>IF('[1]Custom Report Spec'!$C54="","",'[1]Custom Report Spec'!$C54)</f>
        <v/>
      </c>
    </row>
    <row r="65" spans="2:4">
      <c r="B65" s="10" t="str">
        <f t="shared" si="1"/>
        <v/>
      </c>
      <c r="C65" s="9" t="str">
        <f t="shared" si="0"/>
        <v/>
      </c>
      <c r="D65" s="9" t="str">
        <f>IF('[1]Custom Report Spec'!$C55="","",'[1]Custom Report Spec'!$C55)</f>
        <v/>
      </c>
    </row>
    <row r="66" spans="2:4">
      <c r="B66" s="10" t="str">
        <f t="shared" si="1"/>
        <v/>
      </c>
      <c r="C66" s="9" t="str">
        <f t="shared" si="0"/>
        <v/>
      </c>
      <c r="D66" s="9" t="str">
        <f>IF('[1]Custom Report Spec'!$C56="","",'[1]Custom Report Spec'!$C56)</f>
        <v/>
      </c>
    </row>
    <row r="67" spans="2:4">
      <c r="B67" s="10" t="str">
        <f t="shared" si="1"/>
        <v/>
      </c>
      <c r="C67" s="9" t="str">
        <f t="shared" si="0"/>
        <v/>
      </c>
      <c r="D67" s="9" t="str">
        <f>IF('[1]Custom Report Spec'!$C57="","",'[1]Custom Report Spec'!$C57)</f>
        <v/>
      </c>
    </row>
    <row r="68" spans="2:4">
      <c r="B68" s="10" t="str">
        <f t="shared" si="1"/>
        <v/>
      </c>
      <c r="C68" s="9" t="str">
        <f t="shared" si="0"/>
        <v/>
      </c>
      <c r="D68" s="9" t="str">
        <f>IF('[1]Custom Report Spec'!$C58="","",'[1]Custom Report Spec'!$C58)</f>
        <v/>
      </c>
    </row>
    <row r="69" spans="2:4">
      <c r="B69" s="10" t="str">
        <f t="shared" si="1"/>
        <v/>
      </c>
      <c r="C69" s="9" t="str">
        <f t="shared" si="0"/>
        <v/>
      </c>
      <c r="D69" s="9" t="str">
        <f>IF('[1]Custom Report Spec'!$C59="","",'[1]Custom Report Spec'!$C59)</f>
        <v/>
      </c>
    </row>
    <row r="70" spans="2:4">
      <c r="B70" s="10" t="str">
        <f t="shared" si="1"/>
        <v/>
      </c>
      <c r="C70" s="9" t="str">
        <f t="shared" si="0"/>
        <v/>
      </c>
      <c r="D70" s="9" t="str">
        <f>IF('[1]Custom Report Spec'!$C60="","",'[1]Custom Report Spec'!$C60)</f>
        <v/>
      </c>
    </row>
    <row r="71" spans="2:4">
      <c r="B71" s="10" t="str">
        <f t="shared" si="1"/>
        <v/>
      </c>
      <c r="C71" s="9" t="str">
        <f t="shared" si="0"/>
        <v/>
      </c>
      <c r="D71" s="9" t="str">
        <f>IF('[1]Custom Report Spec'!$C61="","",'[1]Custom Report Spec'!$C61)</f>
        <v/>
      </c>
    </row>
    <row r="72" spans="2:4">
      <c r="B72" s="10" t="str">
        <f t="shared" si="1"/>
        <v/>
      </c>
      <c r="C72" s="9" t="str">
        <f t="shared" si="0"/>
        <v/>
      </c>
      <c r="D72" s="9" t="str">
        <f>IF('[1]Custom Report Spec'!$C62="","",'[1]Custom Report Spec'!$C62)</f>
        <v/>
      </c>
    </row>
    <row r="73" spans="2:4">
      <c r="B73" s="10" t="str">
        <f t="shared" si="1"/>
        <v/>
      </c>
      <c r="C73" s="9" t="str">
        <f t="shared" si="0"/>
        <v/>
      </c>
      <c r="D73" s="9" t="str">
        <f>IF('[1]Custom Report Spec'!$C63="","",'[1]Custom Report Spec'!$C63)</f>
        <v/>
      </c>
    </row>
    <row r="74" spans="2:4">
      <c r="B74" s="10" t="str">
        <f t="shared" si="1"/>
        <v/>
      </c>
      <c r="C74" s="9" t="str">
        <f t="shared" si="0"/>
        <v/>
      </c>
      <c r="D74" s="9" t="str">
        <f>IF('[1]Custom Report Spec'!$C64="","",'[1]Custom Report Spec'!$C64)</f>
        <v/>
      </c>
    </row>
    <row r="75" spans="2:4">
      <c r="B75" s="10" t="str">
        <f t="shared" si="1"/>
        <v/>
      </c>
      <c r="C75" s="9" t="str">
        <f t="shared" si="0"/>
        <v/>
      </c>
      <c r="D75" s="9" t="str">
        <f>IF('[1]Custom Report Spec'!$C65="","",'[1]Custom Report Spec'!$C65)</f>
        <v/>
      </c>
    </row>
    <row r="76" spans="2:4">
      <c r="B76" s="10" t="str">
        <f t="shared" si="1"/>
        <v/>
      </c>
      <c r="C76" s="9" t="str">
        <f t="shared" si="0"/>
        <v/>
      </c>
      <c r="D76" s="9" t="str">
        <f>IF('[1]Custom Report Spec'!$C66="","",'[1]Custom Report Spec'!$C66)</f>
        <v/>
      </c>
    </row>
    <row r="77" spans="2:4">
      <c r="B77" s="10" t="str">
        <f t="shared" si="1"/>
        <v/>
      </c>
      <c r="C77" s="9" t="str">
        <f t="shared" si="0"/>
        <v/>
      </c>
      <c r="D77" s="9" t="str">
        <f>IF('[1]Custom Report Spec'!$C67="","",'[1]Custom Report Spec'!$C67)</f>
        <v/>
      </c>
    </row>
    <row r="78" spans="2:4">
      <c r="B78" s="10" t="str">
        <f t="shared" si="1"/>
        <v/>
      </c>
      <c r="C78" s="9" t="str">
        <f t="shared" si="0"/>
        <v/>
      </c>
      <c r="D78" s="9" t="str">
        <f>IF('[1]Custom Report Spec'!$C68="","",'[1]Custom Report Spec'!$C68)</f>
        <v/>
      </c>
    </row>
    <row r="79" spans="2:4">
      <c r="B79" s="10" t="str">
        <f t="shared" si="1"/>
        <v/>
      </c>
      <c r="C79" s="9" t="str">
        <f t="shared" si="0"/>
        <v/>
      </c>
      <c r="D79" s="9" t="str">
        <f>IF('[1]Custom Report Spec'!$C69="","",'[1]Custom Report Spec'!$C69)</f>
        <v/>
      </c>
    </row>
    <row r="80" spans="2:4">
      <c r="B80" s="10" t="str">
        <f t="shared" si="1"/>
        <v/>
      </c>
      <c r="C80" s="9" t="str">
        <f t="shared" si="0"/>
        <v/>
      </c>
      <c r="D80" s="9" t="str">
        <f>IF('[1]Custom Report Spec'!$C70="","",'[1]Custom Report Spec'!$C70)</f>
        <v/>
      </c>
    </row>
    <row r="81" spans="2:4">
      <c r="B81" s="10" t="str">
        <f t="shared" si="1"/>
        <v/>
      </c>
      <c r="C81" s="9" t="str">
        <f t="shared" si="0"/>
        <v/>
      </c>
      <c r="D81" s="9" t="str">
        <f>IF('[1]Custom Report Spec'!$C71="","",'[1]Custom Report Spec'!$C71)</f>
        <v/>
      </c>
    </row>
    <row r="82" spans="2:4">
      <c r="B82" s="10" t="str">
        <f t="shared" ref="B82:B145" si="2">IF($D82="","",LEFT($D82,FIND(" ",$D82,2)))</f>
        <v/>
      </c>
      <c r="C82" s="9" t="str">
        <f t="shared" si="0"/>
        <v/>
      </c>
      <c r="D82" s="9" t="str">
        <f>IF('[1]Custom Report Spec'!$C72="","",'[1]Custom Report Spec'!$C72)</f>
        <v/>
      </c>
    </row>
    <row r="83" spans="2:4">
      <c r="B83" s="10" t="str">
        <f t="shared" si="2"/>
        <v/>
      </c>
      <c r="C83" s="9" t="str">
        <f t="shared" si="0"/>
        <v/>
      </c>
      <c r="D83" s="9" t="str">
        <f>IF('[1]Custom Report Spec'!$C73="","",'[1]Custom Report Spec'!$C73)</f>
        <v/>
      </c>
    </row>
    <row r="84" spans="2:4">
      <c r="B84" s="10" t="str">
        <f t="shared" si="2"/>
        <v/>
      </c>
      <c r="C84" s="9" t="str">
        <f t="shared" si="0"/>
        <v/>
      </c>
      <c r="D84" s="9" t="str">
        <f>IF('[1]Custom Report Spec'!$C74="","",'[1]Custom Report Spec'!$C74)</f>
        <v/>
      </c>
    </row>
    <row r="85" spans="2:4">
      <c r="B85" s="10" t="str">
        <f t="shared" si="2"/>
        <v/>
      </c>
      <c r="C85" s="9" t="str">
        <f t="shared" ref="C85:C121" si="3">$D85</f>
        <v/>
      </c>
      <c r="D85" s="9" t="str">
        <f>IF('[1]Custom Report Spec'!$C75="","",'[1]Custom Report Spec'!$C75)</f>
        <v/>
      </c>
    </row>
    <row r="86" spans="2:4">
      <c r="B86" s="10" t="str">
        <f t="shared" si="2"/>
        <v/>
      </c>
      <c r="C86" s="9" t="str">
        <f t="shared" si="3"/>
        <v/>
      </c>
      <c r="D86" s="9" t="str">
        <f>IF('[1]Custom Report Spec'!$C76="","",'[1]Custom Report Spec'!$C76)</f>
        <v/>
      </c>
    </row>
    <row r="87" spans="2:4">
      <c r="B87" s="10" t="str">
        <f t="shared" si="2"/>
        <v/>
      </c>
      <c r="C87" s="9" t="str">
        <f t="shared" si="3"/>
        <v/>
      </c>
      <c r="D87" s="9" t="str">
        <f>IF('[1]Custom Report Spec'!$C77="","",'[1]Custom Report Spec'!$C77)</f>
        <v/>
      </c>
    </row>
    <row r="88" spans="2:4">
      <c r="B88" s="10" t="str">
        <f t="shared" si="2"/>
        <v/>
      </c>
      <c r="C88" s="9" t="str">
        <f t="shared" si="3"/>
        <v/>
      </c>
      <c r="D88" s="9" t="str">
        <f>IF('[1]Custom Report Spec'!$C78="","",'[1]Custom Report Spec'!$C78)</f>
        <v/>
      </c>
    </row>
    <row r="89" spans="2:4">
      <c r="B89" s="10" t="str">
        <f t="shared" si="2"/>
        <v/>
      </c>
      <c r="C89" s="9" t="str">
        <f t="shared" si="3"/>
        <v/>
      </c>
      <c r="D89" s="9" t="str">
        <f>IF('[1]Custom Report Spec'!$C79="","",'[1]Custom Report Spec'!$C79)</f>
        <v/>
      </c>
    </row>
    <row r="90" spans="2:4">
      <c r="B90" s="10" t="str">
        <f t="shared" si="2"/>
        <v/>
      </c>
      <c r="C90" s="9" t="str">
        <f t="shared" si="3"/>
        <v/>
      </c>
      <c r="D90" s="9" t="str">
        <f>IF('[1]Custom Report Spec'!$C80="","",'[1]Custom Report Spec'!$C80)</f>
        <v/>
      </c>
    </row>
    <row r="91" spans="2:4">
      <c r="B91" s="10" t="str">
        <f t="shared" si="2"/>
        <v/>
      </c>
      <c r="C91" s="9" t="str">
        <f t="shared" si="3"/>
        <v/>
      </c>
      <c r="D91" s="9" t="str">
        <f>IF('[1]Custom Report Spec'!$C81="","",'[1]Custom Report Spec'!$C81)</f>
        <v/>
      </c>
    </row>
    <row r="92" spans="2:4">
      <c r="B92" s="10" t="str">
        <f t="shared" si="2"/>
        <v/>
      </c>
      <c r="C92" s="9" t="str">
        <f t="shared" si="3"/>
        <v/>
      </c>
      <c r="D92" s="9" t="str">
        <f>IF('[1]Custom Report Spec'!$C82="","",'[1]Custom Report Spec'!$C82)</f>
        <v/>
      </c>
    </row>
    <row r="93" spans="2:4">
      <c r="B93" s="10" t="str">
        <f t="shared" si="2"/>
        <v/>
      </c>
      <c r="C93" s="9" t="str">
        <f t="shared" si="3"/>
        <v/>
      </c>
      <c r="D93" s="9" t="str">
        <f>IF('[1]Custom Report Spec'!$C83="","",'[1]Custom Report Spec'!$C83)</f>
        <v/>
      </c>
    </row>
    <row r="94" spans="2:4">
      <c r="B94" s="10" t="str">
        <f t="shared" si="2"/>
        <v/>
      </c>
      <c r="C94" s="9" t="str">
        <f t="shared" si="3"/>
        <v/>
      </c>
      <c r="D94" s="9" t="str">
        <f>IF('[1]Custom Report Spec'!$C84="","",'[1]Custom Report Spec'!$C84)</f>
        <v/>
      </c>
    </row>
    <row r="95" spans="2:4">
      <c r="B95" s="10" t="str">
        <f t="shared" si="2"/>
        <v/>
      </c>
      <c r="C95" s="9" t="str">
        <f t="shared" si="3"/>
        <v/>
      </c>
      <c r="D95" s="9" t="str">
        <f>IF('[1]Custom Report Spec'!$C85="","",'[1]Custom Report Spec'!$C85)</f>
        <v/>
      </c>
    </row>
    <row r="96" spans="2:4">
      <c r="B96" s="10" t="str">
        <f t="shared" si="2"/>
        <v/>
      </c>
      <c r="C96" s="9" t="str">
        <f t="shared" si="3"/>
        <v/>
      </c>
      <c r="D96" s="9" t="str">
        <f>IF('[1]Custom Report Spec'!$C86="","",'[1]Custom Report Spec'!$C86)</f>
        <v/>
      </c>
    </row>
    <row r="97" spans="2:4">
      <c r="B97" s="10" t="str">
        <f t="shared" si="2"/>
        <v/>
      </c>
      <c r="C97" s="9" t="str">
        <f t="shared" si="3"/>
        <v/>
      </c>
      <c r="D97" s="9" t="str">
        <f>IF('[1]Custom Report Spec'!$C87="","",'[1]Custom Report Spec'!$C87)</f>
        <v/>
      </c>
    </row>
    <row r="98" spans="2:4">
      <c r="B98" s="10" t="str">
        <f t="shared" si="2"/>
        <v/>
      </c>
      <c r="C98" s="9" t="str">
        <f t="shared" si="3"/>
        <v/>
      </c>
      <c r="D98" s="9" t="str">
        <f>IF('[1]Custom Report Spec'!$C88="","",'[1]Custom Report Spec'!$C88)</f>
        <v/>
      </c>
    </row>
    <row r="99" spans="2:4">
      <c r="B99" s="10" t="str">
        <f t="shared" si="2"/>
        <v/>
      </c>
      <c r="C99" s="9" t="str">
        <f t="shared" si="3"/>
        <v/>
      </c>
      <c r="D99" s="9" t="str">
        <f>IF('[1]Custom Report Spec'!$C89="","",'[1]Custom Report Spec'!$C89)</f>
        <v/>
      </c>
    </row>
    <row r="100" spans="2:4">
      <c r="B100" s="10" t="str">
        <f t="shared" si="2"/>
        <v/>
      </c>
      <c r="C100" s="9" t="str">
        <f t="shared" si="3"/>
        <v/>
      </c>
      <c r="D100" s="9" t="str">
        <f>IF('[1]Custom Report Spec'!$C90="","",'[1]Custom Report Spec'!$C90)</f>
        <v/>
      </c>
    </row>
    <row r="101" spans="2:4">
      <c r="B101" s="10" t="str">
        <f t="shared" si="2"/>
        <v/>
      </c>
      <c r="C101" s="9" t="str">
        <f t="shared" si="3"/>
        <v/>
      </c>
      <c r="D101" s="9" t="str">
        <f>IF('[1]Custom Report Spec'!$C91="","",'[1]Custom Report Spec'!$C91)</f>
        <v/>
      </c>
    </row>
    <row r="102" spans="2:4">
      <c r="B102" s="10" t="str">
        <f t="shared" si="2"/>
        <v/>
      </c>
      <c r="C102" s="9" t="str">
        <f t="shared" si="3"/>
        <v/>
      </c>
      <c r="D102" s="9" t="str">
        <f>IF('[1]Custom Report Spec'!$C92="","",'[1]Custom Report Spec'!$C92)</f>
        <v/>
      </c>
    </row>
    <row r="103" spans="2:4">
      <c r="B103" s="10" t="str">
        <f t="shared" si="2"/>
        <v/>
      </c>
      <c r="C103" s="9" t="str">
        <f t="shared" si="3"/>
        <v/>
      </c>
      <c r="D103" s="9" t="str">
        <f>IF('[1]Custom Report Spec'!$C93="","",'[1]Custom Report Spec'!$C93)</f>
        <v/>
      </c>
    </row>
    <row r="104" spans="2:4">
      <c r="B104" s="10" t="str">
        <f t="shared" si="2"/>
        <v/>
      </c>
      <c r="C104" s="9" t="str">
        <f t="shared" si="3"/>
        <v/>
      </c>
      <c r="D104" s="9" t="str">
        <f>IF('[1]Custom Report Spec'!$C94="","",'[1]Custom Report Spec'!$C94)</f>
        <v/>
      </c>
    </row>
    <row r="105" spans="2:4">
      <c r="B105" s="10" t="str">
        <f t="shared" si="2"/>
        <v/>
      </c>
      <c r="C105" s="9" t="str">
        <f t="shared" si="3"/>
        <v/>
      </c>
      <c r="D105" s="9" t="str">
        <f>IF('[1]Custom Report Spec'!$C95="","",'[1]Custom Report Spec'!$C95)</f>
        <v/>
      </c>
    </row>
    <row r="106" spans="2:4">
      <c r="B106" s="10" t="str">
        <f t="shared" si="2"/>
        <v/>
      </c>
      <c r="C106" s="9" t="str">
        <f t="shared" si="3"/>
        <v/>
      </c>
      <c r="D106" s="9" t="str">
        <f>IF('[1]Custom Report Spec'!$C96="","",'[1]Custom Report Spec'!$C96)</f>
        <v/>
      </c>
    </row>
    <row r="107" spans="2:4">
      <c r="B107" s="10" t="str">
        <f t="shared" si="2"/>
        <v/>
      </c>
      <c r="C107" s="9" t="str">
        <f t="shared" si="3"/>
        <v/>
      </c>
      <c r="D107" s="9" t="str">
        <f>IF('[1]Custom Report Spec'!$C97="","",'[1]Custom Report Spec'!$C97)</f>
        <v/>
      </c>
    </row>
    <row r="108" spans="2:4">
      <c r="B108" s="10" t="str">
        <f t="shared" si="2"/>
        <v/>
      </c>
      <c r="C108" s="9" t="str">
        <f t="shared" si="3"/>
        <v/>
      </c>
      <c r="D108" s="9" t="str">
        <f>IF('[1]Custom Report Spec'!$C98="","",'[1]Custom Report Spec'!$C98)</f>
        <v/>
      </c>
    </row>
    <row r="109" spans="2:4">
      <c r="B109" s="10" t="str">
        <f t="shared" si="2"/>
        <v/>
      </c>
      <c r="C109" s="9" t="str">
        <f t="shared" si="3"/>
        <v/>
      </c>
      <c r="D109" s="9" t="str">
        <f>IF('[1]Custom Report Spec'!$C99="","",'[1]Custom Report Spec'!$C99)</f>
        <v/>
      </c>
    </row>
    <row r="110" spans="2:4">
      <c r="B110" s="10" t="str">
        <f t="shared" si="2"/>
        <v/>
      </c>
      <c r="C110" s="9" t="str">
        <f t="shared" si="3"/>
        <v/>
      </c>
      <c r="D110" s="9" t="str">
        <f>IF('[1]Custom Report Spec'!$C100="","",'[1]Custom Report Spec'!$C100)</f>
        <v/>
      </c>
    </row>
    <row r="111" spans="2:4">
      <c r="B111" s="10" t="str">
        <f t="shared" si="2"/>
        <v/>
      </c>
      <c r="C111" s="9" t="str">
        <f t="shared" si="3"/>
        <v/>
      </c>
      <c r="D111" s="9" t="str">
        <f>IF('[1]Custom Report Spec'!$C101="","",'[1]Custom Report Spec'!$C101)</f>
        <v/>
      </c>
    </row>
    <row r="112" spans="2:4">
      <c r="B112" s="10" t="str">
        <f t="shared" si="2"/>
        <v/>
      </c>
      <c r="C112" s="9" t="str">
        <f t="shared" si="3"/>
        <v/>
      </c>
      <c r="D112" s="9" t="str">
        <f>IF('[1]Custom Report Spec'!$C102="","",'[1]Custom Report Spec'!$C102)</f>
        <v/>
      </c>
    </row>
    <row r="113" spans="2:4">
      <c r="B113" s="10" t="str">
        <f t="shared" si="2"/>
        <v/>
      </c>
      <c r="C113" s="9" t="str">
        <f t="shared" si="3"/>
        <v/>
      </c>
      <c r="D113" s="9" t="str">
        <f>IF('[1]Custom Report Spec'!$C103="","",'[1]Custom Report Spec'!$C103)</f>
        <v/>
      </c>
    </row>
    <row r="114" spans="2:4">
      <c r="B114" s="10" t="str">
        <f t="shared" si="2"/>
        <v/>
      </c>
      <c r="C114" s="9" t="str">
        <f t="shared" si="3"/>
        <v/>
      </c>
      <c r="D114" s="9" t="str">
        <f>IF('[1]Custom Report Spec'!$C104="","",'[1]Custom Report Spec'!$C104)</f>
        <v/>
      </c>
    </row>
    <row r="115" spans="2:4">
      <c r="B115" s="10" t="str">
        <f t="shared" si="2"/>
        <v/>
      </c>
      <c r="C115" s="9" t="str">
        <f t="shared" si="3"/>
        <v/>
      </c>
      <c r="D115" s="9" t="str">
        <f>IF('[1]Custom Report Spec'!$C105="","",'[1]Custom Report Spec'!$C105)</f>
        <v/>
      </c>
    </row>
    <row r="116" spans="2:4">
      <c r="B116" s="10" t="str">
        <f t="shared" si="2"/>
        <v/>
      </c>
      <c r="C116" s="9" t="str">
        <f t="shared" si="3"/>
        <v/>
      </c>
      <c r="D116" s="9" t="str">
        <f>IF('[1]Custom Report Spec'!$C106="","",'[1]Custom Report Spec'!$C106)</f>
        <v/>
      </c>
    </row>
    <row r="117" spans="2:4">
      <c r="B117" s="10" t="str">
        <f t="shared" si="2"/>
        <v/>
      </c>
      <c r="C117" s="9" t="str">
        <f t="shared" si="3"/>
        <v/>
      </c>
      <c r="D117" s="9" t="str">
        <f>IF('[1]Custom Report Spec'!$C107="","",'[1]Custom Report Spec'!$C107)</f>
        <v/>
      </c>
    </row>
    <row r="118" spans="2:4">
      <c r="B118" s="10" t="str">
        <f t="shared" si="2"/>
        <v/>
      </c>
      <c r="C118" s="9" t="str">
        <f t="shared" si="3"/>
        <v/>
      </c>
      <c r="D118" s="9" t="str">
        <f>IF('[1]Custom Report Spec'!$C108="","",'[1]Custom Report Spec'!$C108)</f>
        <v/>
      </c>
    </row>
    <row r="119" spans="2:4">
      <c r="B119" s="10" t="str">
        <f t="shared" si="2"/>
        <v/>
      </c>
      <c r="C119" s="9" t="str">
        <f t="shared" si="3"/>
        <v/>
      </c>
      <c r="D119" s="9" t="str">
        <f>IF('[1]Custom Report Spec'!$C109="","",'[1]Custom Report Spec'!$C109)</f>
        <v/>
      </c>
    </row>
    <row r="120" spans="2:4">
      <c r="B120" s="10" t="str">
        <f t="shared" si="2"/>
        <v/>
      </c>
      <c r="C120" s="9" t="str">
        <f t="shared" si="3"/>
        <v/>
      </c>
      <c r="D120" s="9" t="str">
        <f>IF('[1]Custom Report Spec'!$C110="","",'[1]Custom Report Spec'!$C110)</f>
        <v/>
      </c>
    </row>
    <row r="121" spans="2:4">
      <c r="B121" s="10" t="str">
        <f t="shared" si="2"/>
        <v/>
      </c>
      <c r="C121" s="9" t="str">
        <f t="shared" si="3"/>
        <v/>
      </c>
      <c r="D121" s="9" t="str">
        <f>IF('[1]Custom Report Spec'!$C111="","",'[1]Custom Report Spec'!$C111)</f>
        <v/>
      </c>
    </row>
    <row r="122" spans="2:4">
      <c r="B122" s="10" t="str">
        <f t="shared" si="2"/>
        <v/>
      </c>
      <c r="C122" s="31" t="str">
        <f t="shared" ref="C122:C146" si="4">IF(D122="","",MID($D122,FIND("- ",$D122)+1,256))</f>
        <v/>
      </c>
      <c r="D122" s="9" t="str">
        <f>IF('[1]Custom Report Spec'!$C112="","",'[1]Custom Report Spec'!$C112)</f>
        <v/>
      </c>
    </row>
    <row r="123" spans="2:4">
      <c r="B123" s="10" t="str">
        <f t="shared" si="2"/>
        <v/>
      </c>
      <c r="C123" s="31" t="str">
        <f t="shared" si="4"/>
        <v/>
      </c>
      <c r="D123" s="9" t="str">
        <f>IF('[1]Custom Report Spec'!$C113="","",'[1]Custom Report Spec'!$C113)</f>
        <v/>
      </c>
    </row>
    <row r="124" spans="2:4">
      <c r="B124" s="10" t="str">
        <f t="shared" si="2"/>
        <v/>
      </c>
      <c r="C124" s="31" t="str">
        <f t="shared" si="4"/>
        <v/>
      </c>
      <c r="D124" s="9" t="str">
        <f>IF('[1]Custom Report Spec'!$C114="","",'[1]Custom Report Spec'!$C114)</f>
        <v/>
      </c>
    </row>
    <row r="125" spans="2:4">
      <c r="B125" s="10" t="str">
        <f t="shared" si="2"/>
        <v/>
      </c>
      <c r="C125" s="31" t="str">
        <f t="shared" si="4"/>
        <v/>
      </c>
      <c r="D125" s="9" t="str">
        <f>IF('[1]Custom Report Spec'!$C115="","",'[1]Custom Report Spec'!$C115)</f>
        <v/>
      </c>
    </row>
    <row r="126" spans="2:4">
      <c r="B126" s="10" t="str">
        <f t="shared" si="2"/>
        <v/>
      </c>
      <c r="C126" s="31" t="str">
        <f t="shared" si="4"/>
        <v/>
      </c>
      <c r="D126" s="9" t="str">
        <f>IF('[1]Custom Report Spec'!$C116="","",'[1]Custom Report Spec'!$C116)</f>
        <v/>
      </c>
    </row>
    <row r="127" spans="2:4">
      <c r="B127" s="10" t="str">
        <f t="shared" si="2"/>
        <v/>
      </c>
      <c r="C127" s="31" t="str">
        <f t="shared" si="4"/>
        <v/>
      </c>
      <c r="D127" s="9" t="str">
        <f>IF('[1]Custom Report Spec'!$C117="","",'[1]Custom Report Spec'!$C117)</f>
        <v/>
      </c>
    </row>
    <row r="128" spans="2:4">
      <c r="B128" s="10" t="str">
        <f t="shared" si="2"/>
        <v/>
      </c>
      <c r="C128" s="31" t="str">
        <f t="shared" si="4"/>
        <v/>
      </c>
      <c r="D128" s="9" t="str">
        <f>IF('[1]Custom Report Spec'!$C118="","",'[1]Custom Report Spec'!$C118)</f>
        <v/>
      </c>
    </row>
    <row r="129" spans="2:4">
      <c r="B129" s="10" t="str">
        <f t="shared" si="2"/>
        <v/>
      </c>
      <c r="C129" s="31" t="str">
        <f t="shared" si="4"/>
        <v/>
      </c>
      <c r="D129" s="9" t="str">
        <f>IF('[1]Custom Report Spec'!$C119="","",'[1]Custom Report Spec'!$C119)</f>
        <v/>
      </c>
    </row>
    <row r="130" spans="2:4">
      <c r="B130" s="10" t="str">
        <f t="shared" si="2"/>
        <v/>
      </c>
      <c r="C130" s="31" t="str">
        <f t="shared" si="4"/>
        <v/>
      </c>
      <c r="D130" s="9" t="str">
        <f>IF('[1]Custom Report Spec'!$C120="","",'[1]Custom Report Spec'!$C120)</f>
        <v/>
      </c>
    </row>
    <row r="131" spans="2:4">
      <c r="B131" s="10" t="str">
        <f t="shared" si="2"/>
        <v/>
      </c>
      <c r="C131" s="31" t="str">
        <f t="shared" si="4"/>
        <v/>
      </c>
      <c r="D131" s="9" t="str">
        <f>IF('[1]Custom Report Spec'!$C121="","",'[1]Custom Report Spec'!$C121)</f>
        <v/>
      </c>
    </row>
    <row r="132" spans="2:4">
      <c r="B132" s="10" t="str">
        <f t="shared" si="2"/>
        <v/>
      </c>
      <c r="C132" s="31" t="str">
        <f t="shared" si="4"/>
        <v/>
      </c>
      <c r="D132" s="9" t="str">
        <f>IF('[1]Custom Report Spec'!$C122="","",'[1]Custom Report Spec'!$C122)</f>
        <v/>
      </c>
    </row>
    <row r="133" spans="2:4">
      <c r="B133" s="10" t="str">
        <f t="shared" si="2"/>
        <v/>
      </c>
      <c r="C133" s="31" t="str">
        <f t="shared" si="4"/>
        <v/>
      </c>
      <c r="D133" s="9" t="str">
        <f>IF('[1]Custom Report Spec'!$C123="","",'[1]Custom Report Spec'!$C123)</f>
        <v/>
      </c>
    </row>
    <row r="134" spans="2:4">
      <c r="B134" s="10" t="str">
        <f t="shared" si="2"/>
        <v/>
      </c>
      <c r="C134" s="31" t="str">
        <f t="shared" si="4"/>
        <v/>
      </c>
      <c r="D134" s="9" t="str">
        <f>IF('[1]Custom Report Spec'!$C124="","",'[1]Custom Report Spec'!$C124)</f>
        <v/>
      </c>
    </row>
    <row r="135" spans="2:4">
      <c r="B135" s="10" t="str">
        <f t="shared" si="2"/>
        <v/>
      </c>
      <c r="C135" s="31" t="str">
        <f t="shared" si="4"/>
        <v/>
      </c>
      <c r="D135" s="9" t="str">
        <f>IF('[1]Custom Report Spec'!$C125="","",'[1]Custom Report Spec'!$C125)</f>
        <v/>
      </c>
    </row>
    <row r="136" spans="2:4">
      <c r="B136" s="10" t="str">
        <f t="shared" si="2"/>
        <v/>
      </c>
      <c r="C136" s="31" t="str">
        <f t="shared" si="4"/>
        <v/>
      </c>
      <c r="D136" s="9" t="str">
        <f>IF('[1]Custom Report Spec'!$C126="","",'[1]Custom Report Spec'!$C126)</f>
        <v/>
      </c>
    </row>
    <row r="137" spans="2:4">
      <c r="B137" s="10" t="str">
        <f t="shared" si="2"/>
        <v/>
      </c>
      <c r="C137" s="31" t="str">
        <f t="shared" si="4"/>
        <v/>
      </c>
      <c r="D137" s="9" t="s">
        <v>14</v>
      </c>
    </row>
    <row r="138" spans="2:4">
      <c r="B138" s="10" t="str">
        <f t="shared" si="2"/>
        <v/>
      </c>
      <c r="C138" s="31" t="str">
        <f t="shared" si="4"/>
        <v/>
      </c>
      <c r="D138" s="9" t="s">
        <v>14</v>
      </c>
    </row>
    <row r="139" spans="2:4">
      <c r="B139" s="10" t="str">
        <f t="shared" si="2"/>
        <v/>
      </c>
      <c r="C139" s="31" t="str">
        <f t="shared" si="4"/>
        <v/>
      </c>
      <c r="D139" s="9" t="s">
        <v>14</v>
      </c>
    </row>
    <row r="140" spans="2:4">
      <c r="B140" s="10" t="str">
        <f t="shared" si="2"/>
        <v/>
      </c>
      <c r="C140" s="31" t="str">
        <f t="shared" si="4"/>
        <v/>
      </c>
      <c r="D140" s="9" t="s">
        <v>14</v>
      </c>
    </row>
    <row r="141" spans="2:4">
      <c r="B141" s="10" t="str">
        <f t="shared" si="2"/>
        <v/>
      </c>
      <c r="C141" s="31" t="str">
        <f t="shared" si="4"/>
        <v/>
      </c>
      <c r="D141" s="9" t="s">
        <v>14</v>
      </c>
    </row>
    <row r="142" spans="2:4">
      <c r="B142" s="10" t="str">
        <f t="shared" si="2"/>
        <v/>
      </c>
      <c r="C142" s="31" t="str">
        <f t="shared" si="4"/>
        <v/>
      </c>
      <c r="D142" s="9" t="s">
        <v>14</v>
      </c>
    </row>
    <row r="143" spans="2:4">
      <c r="B143" s="10" t="str">
        <f t="shared" si="2"/>
        <v/>
      </c>
      <c r="C143" s="31" t="str">
        <f t="shared" si="4"/>
        <v/>
      </c>
      <c r="D143" s="9" t="s">
        <v>14</v>
      </c>
    </row>
    <row r="144" spans="2:4">
      <c r="B144" s="10" t="str">
        <f t="shared" si="2"/>
        <v/>
      </c>
      <c r="C144" s="31" t="str">
        <f t="shared" si="4"/>
        <v/>
      </c>
      <c r="D144" s="9" t="s">
        <v>14</v>
      </c>
    </row>
    <row r="145" spans="2:4">
      <c r="B145" s="10" t="str">
        <f t="shared" si="2"/>
        <v/>
      </c>
      <c r="C145" s="31" t="str">
        <f t="shared" si="4"/>
        <v/>
      </c>
      <c r="D145" s="9" t="s">
        <v>14</v>
      </c>
    </row>
    <row r="146" spans="2:4">
      <c r="B146" s="10" t="str">
        <f t="shared" ref="B146:B151" si="5">IF($D146="","",LEFT($D146,FIND(" ",$D146,2)))</f>
        <v/>
      </c>
      <c r="C146" s="31" t="str">
        <f t="shared" si="4"/>
        <v/>
      </c>
      <c r="D146" s="9" t="s">
        <v>14</v>
      </c>
    </row>
    <row r="147" spans="2:4">
      <c r="B147" s="10" t="str">
        <f t="shared" si="5"/>
        <v/>
      </c>
      <c r="C147" s="31" t="str">
        <f>IF(D147="","",MID($D147,FIND("- ",$D147)+1,256))</f>
        <v/>
      </c>
      <c r="D147" s="9" t="s">
        <v>14</v>
      </c>
    </row>
    <row r="148" spans="2:4">
      <c r="B148" s="10" t="str">
        <f t="shared" si="5"/>
        <v/>
      </c>
      <c r="C148" s="31" t="str">
        <f>IF(D148="","",MID($D148,FIND("- ",$D148)+1,256))</f>
        <v/>
      </c>
      <c r="D148" s="9" t="s">
        <v>14</v>
      </c>
    </row>
    <row r="149" spans="2:4">
      <c r="B149" s="10" t="str">
        <f t="shared" si="5"/>
        <v/>
      </c>
      <c r="C149" s="31" t="str">
        <f>IF(D149="","",MID($D149,FIND("- ",$D149)+1,256))</f>
        <v/>
      </c>
      <c r="D149" s="9" t="s">
        <v>14</v>
      </c>
    </row>
    <row r="150" spans="2:4">
      <c r="B150" s="10" t="str">
        <f t="shared" si="5"/>
        <v/>
      </c>
      <c r="C150" s="31" t="str">
        <f>IF(D150="","",MID($D150,FIND("- ",$D150)+1,256))</f>
        <v/>
      </c>
      <c r="D150" s="9" t="s">
        <v>14</v>
      </c>
    </row>
    <row r="151" spans="2:4">
      <c r="B151" s="10" t="str">
        <f t="shared" si="5"/>
        <v/>
      </c>
      <c r="C151" s="31" t="str">
        <f>IF(D151="","",MID($D151,FIND("- ",$D151)+1,256))</f>
        <v/>
      </c>
      <c r="D151" s="9" t="s">
        <v>14</v>
      </c>
    </row>
  </sheetData>
  <conditionalFormatting sqref="F6:F7">
    <cfRule type="expression" dxfId="5" priority="10">
      <formula>$I$11&gt;120</formula>
    </cfRule>
  </conditionalFormatting>
  <conditionalFormatting sqref="F5">
    <cfRule type="expression" dxfId="4" priority="5" stopIfTrue="1">
      <formula>$I$10&gt;1000</formula>
    </cfRule>
    <cfRule type="expression" dxfId="3" priority="6">
      <formula>$I$9&gt;52</formula>
    </cfRule>
  </conditionalFormatting>
  <conditionalFormatting sqref="J9">
    <cfRule type="expression" dxfId="2" priority="15">
      <formula>$G$9&lt;&gt;"None"</formula>
    </cfRule>
  </conditionalFormatting>
  <conditionalFormatting sqref="J11">
    <cfRule type="expression" dxfId="1" priority="2">
      <formula>$G$11&lt;&gt;"None"</formula>
    </cfRule>
  </conditionalFormatting>
  <conditionalFormatting sqref="J10">
    <cfRule type="expression" dxfId="0" priority="1">
      <formula>$G$10&lt;&gt;"None"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C362-95A2-6B44-817A-47DBF93EBCC0}">
  <sheetPr codeName="Sheet2"/>
  <dimension ref="A1:O124"/>
  <sheetViews>
    <sheetView zoomScale="80" zoomScaleNormal="80" workbookViewId="0">
      <selection activeCell="K17" sqref="K17"/>
    </sheetView>
  </sheetViews>
  <sheetFormatPr baseColWidth="10" defaultRowHeight="16"/>
  <cols>
    <col min="1" max="1" width="27.5" style="5" customWidth="1"/>
    <col min="2" max="2" width="23.33203125" style="15" customWidth="1"/>
    <col min="3" max="3" width="16" style="15" customWidth="1"/>
    <col min="4" max="4" width="13" style="60" customWidth="1"/>
    <col min="5" max="5" width="23.33203125" style="60" customWidth="1"/>
    <col min="6" max="6" width="5.6640625" customWidth="1"/>
    <col min="7" max="7" width="59.1640625" style="34" customWidth="1"/>
    <col min="8" max="9" width="19.33203125" customWidth="1"/>
    <col min="10" max="11" width="19.33203125" style="2" customWidth="1"/>
    <col min="12" max="12" width="5.33203125" customWidth="1"/>
    <col min="13" max="13" width="20.1640625" style="73" customWidth="1"/>
    <col min="14" max="14" width="14.83203125" style="73" customWidth="1"/>
    <col min="15" max="15" width="18.5" style="74" customWidth="1"/>
  </cols>
  <sheetData>
    <row r="1" spans="1:15" s="57" customFormat="1" ht="40">
      <c r="A1" s="56" t="s">
        <v>26</v>
      </c>
      <c r="B1" s="56" t="s">
        <v>28</v>
      </c>
      <c r="C1" s="56" t="s">
        <v>40</v>
      </c>
      <c r="D1" s="56" t="s">
        <v>41</v>
      </c>
      <c r="E1" s="56" t="s">
        <v>42</v>
      </c>
      <c r="H1" s="57" t="str">
        <f t="shared" ref="H1:K6" si="0">IF(B1&lt;&gt;0,B1," ")</f>
        <v>Community</v>
      </c>
      <c r="I1" s="57" t="str">
        <f t="shared" si="0"/>
        <v>Wealthgroup</v>
      </c>
      <c r="J1" s="58" t="str">
        <f t="shared" si="0"/>
        <v>Family Group Size</v>
      </c>
      <c r="K1" s="58" t="str">
        <f t="shared" si="0"/>
        <v>Disposable Income</v>
      </c>
      <c r="M1" s="57" t="str">
        <f t="shared" ref="M1:N6" si="1">H1</f>
        <v>Community</v>
      </c>
      <c r="N1" s="57" t="str">
        <f t="shared" si="1"/>
        <v>Wealthgroup</v>
      </c>
      <c r="O1" s="58" t="s">
        <v>18</v>
      </c>
    </row>
    <row r="2" spans="1:15">
      <c r="A2" s="4"/>
      <c r="B2" s="55"/>
      <c r="C2" s="55"/>
      <c r="D2" s="72"/>
      <c r="E2" s="72"/>
      <c r="H2" t="str">
        <f t="shared" si="0"/>
        <v xml:space="preserve"> </v>
      </c>
      <c r="I2" t="str">
        <f t="shared" si="0"/>
        <v xml:space="preserve"> </v>
      </c>
      <c r="J2" s="2" t="str">
        <f t="shared" si="0"/>
        <v xml:space="preserve"> </v>
      </c>
      <c r="K2" s="2" t="str">
        <f t="shared" si="0"/>
        <v xml:space="preserve"> </v>
      </c>
      <c r="M2" s="73" t="str">
        <f t="shared" si="1"/>
        <v xml:space="preserve"> </v>
      </c>
      <c r="N2" s="73" t="str">
        <f t="shared" si="1"/>
        <v xml:space="preserve"> </v>
      </c>
      <c r="O2" s="74" t="str">
        <f>IF(K2&lt;&gt;" ",K2/J2," ")</f>
        <v xml:space="preserve"> </v>
      </c>
    </row>
    <row r="3" spans="1:15">
      <c r="A3" s="4" t="str">
        <f>'[1]366 Community Disposable Income'!$A$7</f>
        <v>Banana Coffee Piggery</v>
      </c>
      <c r="B3" s="55" t="str">
        <f>'[1]366 Community Disposable Income'!B3</f>
        <v>Averages</v>
      </c>
      <c r="C3" s="55" t="str">
        <f>'[1]366 Community Disposable Income'!C3</f>
        <v>Poor</v>
      </c>
      <c r="D3" s="55">
        <f>'[1]366 Community Disposable Income'!D3</f>
        <v>4.75</v>
      </c>
      <c r="E3" s="55">
        <f>'[1]366 Community Disposable Income'!E3</f>
        <v>2254401</v>
      </c>
      <c r="H3" t="str">
        <f t="shared" si="0"/>
        <v>Averages</v>
      </c>
      <c r="I3" t="str">
        <f t="shared" si="0"/>
        <v>Poor</v>
      </c>
      <c r="J3" s="2">
        <f t="shared" si="0"/>
        <v>4.75</v>
      </c>
      <c r="K3" s="2">
        <f t="shared" si="0"/>
        <v>2254401</v>
      </c>
      <c r="M3" s="73" t="str">
        <f t="shared" si="1"/>
        <v>Averages</v>
      </c>
      <c r="N3" s="73" t="str">
        <f t="shared" si="1"/>
        <v>Poor</v>
      </c>
      <c r="O3" s="74">
        <f>IF(K3&lt;&gt;" ",K3/J3," ")</f>
        <v>474610.73684210528</v>
      </c>
    </row>
    <row r="4" spans="1:15">
      <c r="A4" s="4"/>
      <c r="B4" s="55">
        <f>'[1]366 Community Disposable Income'!B4</f>
        <v>0</v>
      </c>
      <c r="C4" s="55" t="str">
        <f>'[1]366 Community Disposable Income'!C4</f>
        <v>Middle</v>
      </c>
      <c r="D4" s="55">
        <f>'[1]366 Community Disposable Income'!D4</f>
        <v>6</v>
      </c>
      <c r="E4" s="55">
        <f>'[1]366 Community Disposable Income'!E4</f>
        <v>15657180</v>
      </c>
      <c r="H4" t="str">
        <f t="shared" si="0"/>
        <v xml:space="preserve"> </v>
      </c>
      <c r="I4" t="str">
        <f t="shared" si="0"/>
        <v>Middle</v>
      </c>
      <c r="J4" s="2">
        <f t="shared" si="0"/>
        <v>6</v>
      </c>
      <c r="K4" s="2">
        <f t="shared" si="0"/>
        <v>15657180</v>
      </c>
      <c r="M4" s="73" t="str">
        <f t="shared" si="1"/>
        <v xml:space="preserve"> </v>
      </c>
      <c r="N4" s="73" t="str">
        <f t="shared" si="1"/>
        <v>Middle</v>
      </c>
      <c r="O4" s="74">
        <f>IF(K4&lt;&gt;" ",K4/J4," ")</f>
        <v>2609530</v>
      </c>
    </row>
    <row r="5" spans="1:15">
      <c r="A5" s="4"/>
      <c r="B5" s="55">
        <f>'[1]366 Community Disposable Income'!B5</f>
        <v>0</v>
      </c>
      <c r="C5" s="55" t="str">
        <f>'[1]366 Community Disposable Income'!C5</f>
        <v>Better Off</v>
      </c>
      <c r="D5" s="55">
        <f>'[1]366 Community Disposable Income'!D5</f>
        <v>5.75</v>
      </c>
      <c r="E5" s="55">
        <f>'[1]366 Community Disposable Income'!E5</f>
        <v>4547972</v>
      </c>
      <c r="H5" t="str">
        <f t="shared" si="0"/>
        <v xml:space="preserve"> </v>
      </c>
      <c r="I5" t="str">
        <f t="shared" si="0"/>
        <v>Better Off</v>
      </c>
      <c r="J5" s="2">
        <f t="shared" si="0"/>
        <v>5.75</v>
      </c>
      <c r="K5" s="2">
        <f t="shared" si="0"/>
        <v>4547972</v>
      </c>
      <c r="M5" s="73" t="str">
        <f t="shared" si="1"/>
        <v xml:space="preserve"> </v>
      </c>
      <c r="N5" s="73" t="str">
        <f t="shared" si="1"/>
        <v>Better Off</v>
      </c>
      <c r="O5" s="74">
        <f>IF(K5&lt;&gt;" ",K5/J5," ")</f>
        <v>790951.65217391308</v>
      </c>
    </row>
    <row r="6" spans="1:15">
      <c r="A6" s="4"/>
      <c r="B6" s="55">
        <f>'[1]366 Community Disposable Income'!B6</f>
        <v>0</v>
      </c>
      <c r="C6" s="55">
        <f>'[1]366 Community Disposable Income'!C6</f>
        <v>0</v>
      </c>
      <c r="D6" s="55">
        <f>'[1]366 Community Disposable Income'!D6</f>
        <v>0</v>
      </c>
      <c r="E6" s="55">
        <f>'[1]366 Community Disposable Income'!E6</f>
        <v>0</v>
      </c>
      <c r="H6" t="str">
        <f t="shared" si="0"/>
        <v xml:space="preserve"> </v>
      </c>
      <c r="I6" t="str">
        <f t="shared" si="0"/>
        <v xml:space="preserve"> </v>
      </c>
      <c r="J6" s="2" t="str">
        <f t="shared" si="0"/>
        <v xml:space="preserve"> </v>
      </c>
      <c r="K6" s="2" t="str">
        <f t="shared" si="0"/>
        <v xml:space="preserve"> </v>
      </c>
      <c r="M6" s="73" t="str">
        <f t="shared" si="1"/>
        <v xml:space="preserve"> </v>
      </c>
      <c r="N6" s="73" t="str">
        <f t="shared" si="1"/>
        <v xml:space="preserve"> </v>
      </c>
      <c r="O6" s="74" t="str">
        <f>IF(K6&lt;&gt;" ",K6/J6," ")</f>
        <v xml:space="preserve"> </v>
      </c>
    </row>
    <row r="7" spans="1:15">
      <c r="A7" s="4" t="str">
        <f>A3</f>
        <v>Banana Coffee Piggery</v>
      </c>
      <c r="B7" s="55" t="str">
        <f>'[1]366 Community Disposable Income'!B7</f>
        <v>Mukono Butere</v>
      </c>
      <c r="C7" s="55" t="str">
        <f>'[1]366 Community Disposable Income'!C7</f>
        <v>Poor</v>
      </c>
      <c r="D7" s="55">
        <f>'[1]366 Community Disposable Income'!D7</f>
        <v>6</v>
      </c>
      <c r="E7" s="55">
        <f>'[1]366 Community Disposable Income'!E7</f>
        <v>7400000</v>
      </c>
      <c r="I7" t="str">
        <f t="shared" ref="H7:K65" si="2">IF(C7&lt;&gt;0,C7," ")</f>
        <v>Poor</v>
      </c>
      <c r="J7" s="2">
        <f t="shared" si="2"/>
        <v>6</v>
      </c>
      <c r="K7" s="2">
        <f t="shared" si="2"/>
        <v>7400000</v>
      </c>
      <c r="M7" s="73" t="s">
        <v>17</v>
      </c>
      <c r="N7" s="73" t="str">
        <f>I7</f>
        <v>Poor</v>
      </c>
      <c r="O7" s="74">
        <f t="shared" ref="O7:O27" si="3">IF(K7&lt;&gt;" ",K7/J7," ")</f>
        <v>1233333.3333333333</v>
      </c>
    </row>
    <row r="8" spans="1:15">
      <c r="A8" s="4"/>
      <c r="B8" s="55">
        <f>'[1]366 Community Disposable Income'!B8</f>
        <v>0</v>
      </c>
      <c r="C8" s="55" t="str">
        <f>'[1]366 Community Disposable Income'!C8</f>
        <v>Middle</v>
      </c>
      <c r="D8" s="55">
        <f>'[1]366 Community Disposable Income'!D8</f>
        <v>7</v>
      </c>
      <c r="E8" s="55">
        <f>'[1]366 Community Disposable Income'!E8</f>
        <v>27083800</v>
      </c>
      <c r="G8" s="36" t="s">
        <v>15</v>
      </c>
      <c r="H8" t="str">
        <f t="shared" ref="H8:H27" si="4">IF(B7&lt;&gt;0,B7," ")</f>
        <v>Mukono Butere</v>
      </c>
      <c r="I8" t="str">
        <f t="shared" si="2"/>
        <v>Middle</v>
      </c>
      <c r="J8" s="2">
        <f t="shared" si="2"/>
        <v>7</v>
      </c>
      <c r="K8" s="2">
        <f t="shared" ref="K8:K65" si="5">IF(E8&lt;&gt;0,E8," ")</f>
        <v>27083800</v>
      </c>
      <c r="M8" s="73" t="str">
        <f>H8</f>
        <v>Mukono Butere</v>
      </c>
      <c r="N8" s="73" t="str">
        <f>I8</f>
        <v>Middle</v>
      </c>
      <c r="O8" s="74">
        <f t="shared" si="3"/>
        <v>3869114.2857142859</v>
      </c>
    </row>
    <row r="9" spans="1:15">
      <c r="A9" s="4"/>
      <c r="B9" s="55">
        <f>'[1]366 Community Disposable Income'!B9</f>
        <v>0</v>
      </c>
      <c r="C9" s="55" t="str">
        <f>'[1]366 Community Disposable Income'!C9</f>
        <v>Better Off</v>
      </c>
      <c r="D9" s="55">
        <f>'[1]366 Community Disposable Income'!D9</f>
        <v>4</v>
      </c>
      <c r="E9" s="55">
        <f>'[1]366 Community Disposable Income'!E9</f>
        <v>2164000</v>
      </c>
      <c r="G9" s="35">
        <f>COUNTIF(H8:H99,"&lt;&gt; ")</f>
        <v>4</v>
      </c>
      <c r="H9" t="str">
        <f t="shared" si="4"/>
        <v xml:space="preserve"> </v>
      </c>
      <c r="I9" t="str">
        <f t="shared" si="2"/>
        <v>Better Off</v>
      </c>
      <c r="J9" s="2">
        <f t="shared" si="2"/>
        <v>4</v>
      </c>
      <c r="K9" s="2">
        <f t="shared" si="5"/>
        <v>2164000</v>
      </c>
      <c r="M9" s="73" t="str">
        <f>H9</f>
        <v xml:space="preserve"> </v>
      </c>
      <c r="N9" s="73" t="str">
        <f>I9</f>
        <v>Better Off</v>
      </c>
      <c r="O9" s="74">
        <f t="shared" si="3"/>
        <v>541000</v>
      </c>
    </row>
    <row r="10" spans="1:15">
      <c r="A10" s="4"/>
      <c r="B10" s="55" t="str">
        <f>'[1]366 Community Disposable Income'!B10</f>
        <v>Mukono Lusera</v>
      </c>
      <c r="C10" s="55" t="str">
        <f>'[1]366 Community Disposable Income'!C10</f>
        <v>Poor</v>
      </c>
      <c r="D10" s="55">
        <f>'[1]366 Community Disposable Income'!D10</f>
        <v>3</v>
      </c>
      <c r="E10" s="55">
        <f>'[1]366 Community Disposable Income'!E10</f>
        <v>1119804</v>
      </c>
      <c r="G10" s="37" t="s">
        <v>16</v>
      </c>
      <c r="H10" t="str">
        <f t="shared" si="4"/>
        <v xml:space="preserve"> </v>
      </c>
      <c r="I10" t="str">
        <f t="shared" si="2"/>
        <v>Poor</v>
      </c>
      <c r="J10" s="2">
        <f t="shared" si="2"/>
        <v>3</v>
      </c>
      <c r="K10" s="2">
        <f t="shared" si="5"/>
        <v>1119804</v>
      </c>
      <c r="M10" s="73" t="str">
        <f t="shared" ref="M10:M68" si="6">H10</f>
        <v xml:space="preserve"> </v>
      </c>
      <c r="N10" s="73" t="str">
        <f t="shared" ref="N10:N68" si="7">I10</f>
        <v>Poor</v>
      </c>
      <c r="O10" s="74">
        <f t="shared" si="3"/>
        <v>373268</v>
      </c>
    </row>
    <row r="11" spans="1:15">
      <c r="A11" s="4"/>
      <c r="B11" s="55">
        <f>'[1]366 Community Disposable Income'!B11</f>
        <v>0</v>
      </c>
      <c r="C11" s="55" t="str">
        <f>'[1]366 Community Disposable Income'!C11</f>
        <v>Middle</v>
      </c>
      <c r="D11" s="55">
        <f>'[1]366 Community Disposable Income'!D11</f>
        <v>5</v>
      </c>
      <c r="E11" s="55">
        <f>'[1]366 Community Disposable Income'!E11</f>
        <v>2248160</v>
      </c>
      <c r="G11" s="25">
        <f>3*G9</f>
        <v>12</v>
      </c>
      <c r="H11" t="str">
        <f t="shared" si="4"/>
        <v>Mukono Lusera</v>
      </c>
      <c r="I11" t="str">
        <f t="shared" si="2"/>
        <v>Middle</v>
      </c>
      <c r="J11" s="2">
        <f t="shared" si="2"/>
        <v>5</v>
      </c>
      <c r="K11" s="2">
        <f t="shared" si="5"/>
        <v>2248160</v>
      </c>
      <c r="M11" s="73" t="str">
        <f t="shared" si="6"/>
        <v>Mukono Lusera</v>
      </c>
      <c r="N11" s="73" t="str">
        <f t="shared" si="7"/>
        <v>Middle</v>
      </c>
      <c r="O11" s="74">
        <f t="shared" si="3"/>
        <v>449632</v>
      </c>
    </row>
    <row r="12" spans="1:15">
      <c r="A12" s="4"/>
      <c r="B12" s="55">
        <f>'[1]366 Community Disposable Income'!B12</f>
        <v>0</v>
      </c>
      <c r="C12" s="55" t="str">
        <f>'[1]366 Community Disposable Income'!C12</f>
        <v>Better Off</v>
      </c>
      <c r="D12" s="55">
        <f>'[1]366 Community Disposable Income'!D12</f>
        <v>4</v>
      </c>
      <c r="E12" s="55">
        <f>'[1]366 Community Disposable Income'!E12</f>
        <v>6230</v>
      </c>
      <c r="H12" t="str">
        <f t="shared" si="4"/>
        <v xml:space="preserve"> </v>
      </c>
      <c r="I12" t="str">
        <f t="shared" si="2"/>
        <v>Better Off</v>
      </c>
      <c r="J12" s="2">
        <f t="shared" si="2"/>
        <v>4</v>
      </c>
      <c r="K12" s="2">
        <f t="shared" si="5"/>
        <v>6230</v>
      </c>
      <c r="M12" s="73" t="str">
        <f t="shared" si="6"/>
        <v xml:space="preserve"> </v>
      </c>
      <c r="N12" s="73" t="str">
        <f t="shared" si="7"/>
        <v>Better Off</v>
      </c>
      <c r="O12" s="74">
        <f t="shared" si="3"/>
        <v>1557.5</v>
      </c>
    </row>
    <row r="13" spans="1:15">
      <c r="A13" s="4"/>
      <c r="B13" s="55" t="str">
        <f>'[1]366 Community Disposable Income'!B13</f>
        <v>Mukono Nakisunga</v>
      </c>
      <c r="C13" s="55" t="str">
        <f>'[1]366 Community Disposable Income'!C13</f>
        <v>Poor</v>
      </c>
      <c r="D13" s="55">
        <f>'[1]366 Community Disposable Income'!D13</f>
        <v>5</v>
      </c>
      <c r="E13" s="55">
        <f>'[1]366 Community Disposable Income'!E13</f>
        <v>32800</v>
      </c>
      <c r="G13" s="37" t="s">
        <v>19</v>
      </c>
      <c r="H13" t="str">
        <f t="shared" si="4"/>
        <v xml:space="preserve"> </v>
      </c>
      <c r="I13" t="str">
        <f t="shared" si="2"/>
        <v>Poor</v>
      </c>
      <c r="J13" s="2">
        <f t="shared" si="2"/>
        <v>5</v>
      </c>
      <c r="K13" s="2">
        <f t="shared" si="5"/>
        <v>32800</v>
      </c>
      <c r="M13" s="73" t="str">
        <f t="shared" si="6"/>
        <v xml:space="preserve"> </v>
      </c>
      <c r="N13" s="73" t="str">
        <f t="shared" si="7"/>
        <v>Poor</v>
      </c>
      <c r="O13" s="74">
        <f t="shared" si="3"/>
        <v>6560</v>
      </c>
    </row>
    <row r="14" spans="1:15">
      <c r="A14" s="4"/>
      <c r="B14" s="55">
        <f>'[1]366 Community Disposable Income'!B14</f>
        <v>0</v>
      </c>
      <c r="C14" s="55" t="str">
        <f>'[1]366 Community Disposable Income'!C14</f>
        <v>Middle</v>
      </c>
      <c r="D14" s="55">
        <f>'[1]366 Community Disposable Income'!D14</f>
        <v>5</v>
      </c>
      <c r="E14" s="55">
        <f>'[1]366 Community Disposable Income'!E14</f>
        <v>6212960</v>
      </c>
      <c r="G14" s="25" t="str">
        <f>CONCATENATE(A7," LZ, Disposable Income (",Summary!C6,")")</f>
        <v>Banana Coffee Piggery LZ, Disposable Income (UGX)</v>
      </c>
      <c r="H14" t="str">
        <f t="shared" si="4"/>
        <v>Mukono Nakisunga</v>
      </c>
      <c r="I14" t="str">
        <f t="shared" si="2"/>
        <v>Middle</v>
      </c>
      <c r="J14" s="2">
        <f t="shared" si="2"/>
        <v>5</v>
      </c>
      <c r="K14" s="2">
        <f t="shared" si="5"/>
        <v>6212960</v>
      </c>
      <c r="M14" s="73" t="str">
        <f t="shared" si="6"/>
        <v>Mukono Nakisunga</v>
      </c>
      <c r="N14" s="73" t="str">
        <f t="shared" si="7"/>
        <v>Middle</v>
      </c>
      <c r="O14" s="74">
        <f t="shared" si="3"/>
        <v>1242592</v>
      </c>
    </row>
    <row r="15" spans="1:15">
      <c r="A15" s="4"/>
      <c r="B15" s="55">
        <f>'[1]366 Community Disposable Income'!B15</f>
        <v>0</v>
      </c>
      <c r="C15" s="55" t="str">
        <f>'[1]366 Community Disposable Income'!C15</f>
        <v>Better Off</v>
      </c>
      <c r="D15" s="55">
        <f>'[1]366 Community Disposable Income'!D15</f>
        <v>6</v>
      </c>
      <c r="E15" s="55">
        <f>'[1]366 Community Disposable Income'!E15</f>
        <v>0</v>
      </c>
      <c r="H15" t="str">
        <f t="shared" si="4"/>
        <v xml:space="preserve"> </v>
      </c>
      <c r="I15" t="str">
        <f t="shared" si="2"/>
        <v>Better Off</v>
      </c>
      <c r="J15" s="2">
        <f t="shared" si="2"/>
        <v>6</v>
      </c>
      <c r="K15" s="2" t="str">
        <f t="shared" si="5"/>
        <v xml:space="preserve"> </v>
      </c>
      <c r="M15" s="73" t="str">
        <f t="shared" si="6"/>
        <v xml:space="preserve"> </v>
      </c>
      <c r="N15" s="73" t="str">
        <f t="shared" si="7"/>
        <v>Better Off</v>
      </c>
      <c r="O15" s="74" t="str">
        <f t="shared" si="3"/>
        <v xml:space="preserve"> </v>
      </c>
    </row>
    <row r="16" spans="1:15">
      <c r="A16" s="4"/>
      <c r="B16" s="55" t="str">
        <f>'[1]366 Community Disposable Income'!B16</f>
        <v>Mukono Ntenjeru</v>
      </c>
      <c r="C16" s="55" t="str">
        <f>'[1]366 Community Disposable Income'!C16</f>
        <v>Poor</v>
      </c>
      <c r="D16" s="55">
        <f>'[1]366 Community Disposable Income'!D16</f>
        <v>5</v>
      </c>
      <c r="E16" s="55">
        <f>'[1]366 Community Disposable Income'!E16</f>
        <v>465000</v>
      </c>
      <c r="G16" s="34" t="s">
        <v>20</v>
      </c>
      <c r="H16" t="str">
        <f t="shared" si="4"/>
        <v xml:space="preserve"> </v>
      </c>
      <c r="I16" t="str">
        <f t="shared" si="2"/>
        <v>Poor</v>
      </c>
      <c r="J16" s="2">
        <f t="shared" si="2"/>
        <v>5</v>
      </c>
      <c r="K16" s="2">
        <f t="shared" si="5"/>
        <v>465000</v>
      </c>
      <c r="M16" s="73" t="str">
        <f t="shared" si="6"/>
        <v xml:space="preserve"> </v>
      </c>
      <c r="N16" s="73" t="str">
        <f t="shared" si="7"/>
        <v>Poor</v>
      </c>
      <c r="O16" s="74">
        <f t="shared" si="3"/>
        <v>93000</v>
      </c>
    </row>
    <row r="17" spans="1:15">
      <c r="A17" s="4"/>
      <c r="B17" s="55">
        <f>'[1]366 Community Disposable Income'!B17</f>
        <v>0</v>
      </c>
      <c r="C17" s="55" t="str">
        <f>'[1]366 Community Disposable Income'!C17</f>
        <v>Middle</v>
      </c>
      <c r="D17" s="55">
        <f>'[1]366 Community Disposable Income'!D17</f>
        <v>7</v>
      </c>
      <c r="E17" s="55">
        <f>'[1]366 Community Disposable Income'!E17</f>
        <v>27083800</v>
      </c>
      <c r="G17" s="34" t="str">
        <f>CONCATENATE(A7," LZ, Disposable Income per Adult Equivalent (",Summary!C6,")")</f>
        <v>Banana Coffee Piggery LZ, Disposable Income per Adult Equivalent (UGX)</v>
      </c>
      <c r="H17" t="str">
        <f t="shared" si="4"/>
        <v>Mukono Ntenjeru</v>
      </c>
      <c r="I17" t="str">
        <f t="shared" si="2"/>
        <v>Middle</v>
      </c>
      <c r="J17" s="2">
        <f t="shared" si="2"/>
        <v>7</v>
      </c>
      <c r="K17" s="2">
        <f t="shared" si="5"/>
        <v>27083800</v>
      </c>
      <c r="M17" s="73" t="str">
        <f t="shared" si="6"/>
        <v>Mukono Ntenjeru</v>
      </c>
      <c r="N17" s="73" t="str">
        <f t="shared" si="7"/>
        <v>Middle</v>
      </c>
      <c r="O17" s="74">
        <f t="shared" si="3"/>
        <v>3869114.2857142859</v>
      </c>
    </row>
    <row r="18" spans="1:15">
      <c r="A18" s="4"/>
      <c r="B18" s="55">
        <f>'[1]366 Community Disposable Income'!B18</f>
        <v>0</v>
      </c>
      <c r="C18" s="55" t="str">
        <f>'[1]366 Community Disposable Income'!C18</f>
        <v>Better Off</v>
      </c>
      <c r="D18" s="55">
        <f>'[1]366 Community Disposable Income'!D18</f>
        <v>9</v>
      </c>
      <c r="E18" s="55">
        <f>'[1]366 Community Disposable Income'!E18</f>
        <v>16021658</v>
      </c>
      <c r="H18" t="str">
        <f t="shared" si="4"/>
        <v xml:space="preserve"> </v>
      </c>
      <c r="I18" t="str">
        <f t="shared" si="2"/>
        <v>Better Off</v>
      </c>
      <c r="J18" s="2">
        <f t="shared" si="2"/>
        <v>9</v>
      </c>
      <c r="K18" s="2">
        <f t="shared" si="5"/>
        <v>16021658</v>
      </c>
      <c r="M18" s="73" t="str">
        <f t="shared" si="6"/>
        <v xml:space="preserve"> </v>
      </c>
      <c r="N18" s="73" t="str">
        <f t="shared" si="7"/>
        <v>Better Off</v>
      </c>
      <c r="O18" s="74">
        <f t="shared" si="3"/>
        <v>1780184.2222222222</v>
      </c>
    </row>
    <row r="19" spans="1:15">
      <c r="A19" s="4"/>
      <c r="B19" s="55">
        <f>'[1]366 Community Disposable Income'!B19</f>
        <v>0</v>
      </c>
      <c r="C19" s="55">
        <f>'[1]366 Community Disposable Income'!C19</f>
        <v>0</v>
      </c>
      <c r="D19" s="55">
        <f>'[1]366 Community Disposable Income'!D19</f>
        <v>0</v>
      </c>
      <c r="E19" s="55">
        <f>'[1]366 Community Disposable Income'!E19</f>
        <v>0</v>
      </c>
      <c r="G19" s="34" t="s">
        <v>21</v>
      </c>
      <c r="H19" t="str">
        <f t="shared" si="4"/>
        <v xml:space="preserve"> </v>
      </c>
      <c r="I19" t="str">
        <f t="shared" si="2"/>
        <v xml:space="preserve"> </v>
      </c>
      <c r="J19" s="2" t="str">
        <f t="shared" si="2"/>
        <v xml:space="preserve"> </v>
      </c>
      <c r="K19" s="2" t="str">
        <f t="shared" si="5"/>
        <v xml:space="preserve"> </v>
      </c>
      <c r="M19" s="73" t="str">
        <f t="shared" si="6"/>
        <v xml:space="preserve"> </v>
      </c>
      <c r="N19" s="73" t="str">
        <f t="shared" si="7"/>
        <v xml:space="preserve"> </v>
      </c>
      <c r="O19" s="74" t="str">
        <f t="shared" si="3"/>
        <v xml:space="preserve"> </v>
      </c>
    </row>
    <row r="20" spans="1:15">
      <c r="A20" s="4"/>
      <c r="B20" s="55">
        <f>'[1]366 Community Disposable Income'!B20</f>
        <v>0</v>
      </c>
      <c r="C20" s="55">
        <f>'[1]366 Community Disposable Income'!C20</f>
        <v>0</v>
      </c>
      <c r="D20" s="55">
        <f>'[1]366 Community Disposable Income'!D20</f>
        <v>0</v>
      </c>
      <c r="E20" s="55">
        <f>'[1]366 Community Disposable Income'!E20</f>
        <v>0</v>
      </c>
      <c r="G20" s="25" t="str">
        <f>CONCATENATE(A3," LZ, Average Disposable Income (",Summary!C6,")")</f>
        <v>Banana Coffee Piggery LZ, Average Disposable Income (UGX)</v>
      </c>
      <c r="H20" t="str">
        <f t="shared" si="4"/>
        <v xml:space="preserve"> </v>
      </c>
      <c r="I20" t="str">
        <f t="shared" si="2"/>
        <v xml:space="preserve"> </v>
      </c>
      <c r="J20" s="2" t="str">
        <f t="shared" si="2"/>
        <v xml:space="preserve"> </v>
      </c>
      <c r="K20" s="2" t="str">
        <f t="shared" si="5"/>
        <v xml:space="preserve"> </v>
      </c>
      <c r="M20" s="73" t="str">
        <f t="shared" si="6"/>
        <v xml:space="preserve"> </v>
      </c>
      <c r="N20" s="73" t="str">
        <f t="shared" si="7"/>
        <v xml:space="preserve"> </v>
      </c>
      <c r="O20" s="74" t="str">
        <f t="shared" si="3"/>
        <v xml:space="preserve"> </v>
      </c>
    </row>
    <row r="21" spans="1:15">
      <c r="A21" s="4"/>
      <c r="B21" s="55">
        <f>'[1]366 Community Disposable Income'!B21</f>
        <v>0</v>
      </c>
      <c r="C21" s="55">
        <f>'[1]366 Community Disposable Income'!C21</f>
        <v>0</v>
      </c>
      <c r="D21" s="55">
        <f>'[1]366 Community Disposable Income'!D21</f>
        <v>0</v>
      </c>
      <c r="E21" s="55">
        <f>'[1]366 Community Disposable Income'!E21</f>
        <v>0</v>
      </c>
      <c r="H21" t="str">
        <f t="shared" si="4"/>
        <v xml:space="preserve"> </v>
      </c>
      <c r="I21" t="str">
        <f t="shared" si="2"/>
        <v xml:space="preserve"> </v>
      </c>
      <c r="J21" s="2" t="str">
        <f t="shared" si="2"/>
        <v xml:space="preserve"> </v>
      </c>
      <c r="K21" s="2" t="str">
        <f t="shared" si="5"/>
        <v xml:space="preserve"> </v>
      </c>
      <c r="M21" s="73" t="str">
        <f t="shared" si="6"/>
        <v xml:space="preserve"> </v>
      </c>
      <c r="N21" s="73" t="str">
        <f t="shared" si="7"/>
        <v xml:space="preserve"> </v>
      </c>
      <c r="O21" s="74" t="str">
        <f t="shared" si="3"/>
        <v xml:space="preserve"> </v>
      </c>
    </row>
    <row r="22" spans="1:15">
      <c r="A22" s="4"/>
      <c r="B22" s="55">
        <f>'[1]366 Community Disposable Income'!B22</f>
        <v>0</v>
      </c>
      <c r="C22" s="55">
        <f>'[1]366 Community Disposable Income'!C22</f>
        <v>0</v>
      </c>
      <c r="D22" s="55">
        <f>'[1]366 Community Disposable Income'!D22</f>
        <v>0</v>
      </c>
      <c r="E22" s="55">
        <f>'[1]366 Community Disposable Income'!E22</f>
        <v>0</v>
      </c>
      <c r="G22" s="34" t="s">
        <v>22</v>
      </c>
      <c r="H22" t="str">
        <f t="shared" si="4"/>
        <v xml:space="preserve"> </v>
      </c>
      <c r="I22" t="str">
        <f t="shared" si="2"/>
        <v xml:space="preserve"> </v>
      </c>
      <c r="J22" s="2" t="str">
        <f t="shared" si="2"/>
        <v xml:space="preserve"> </v>
      </c>
      <c r="K22" s="2" t="str">
        <f t="shared" si="5"/>
        <v xml:space="preserve"> </v>
      </c>
      <c r="M22" s="73" t="str">
        <f t="shared" si="6"/>
        <v xml:space="preserve"> </v>
      </c>
      <c r="N22" s="73" t="str">
        <f t="shared" si="7"/>
        <v xml:space="preserve"> </v>
      </c>
      <c r="O22" s="74" t="str">
        <f t="shared" si="3"/>
        <v xml:space="preserve"> </v>
      </c>
    </row>
    <row r="23" spans="1:15">
      <c r="A23" s="4"/>
      <c r="B23" s="55">
        <f>'[1]366 Community Disposable Income'!B23</f>
        <v>0</v>
      </c>
      <c r="C23" s="55">
        <f>'[1]366 Community Disposable Income'!C23</f>
        <v>0</v>
      </c>
      <c r="D23" s="55">
        <f>'[1]366 Community Disposable Income'!D23</f>
        <v>0</v>
      </c>
      <c r="E23" s="55">
        <f>'[1]366 Community Disposable Income'!E23</f>
        <v>0</v>
      </c>
      <c r="G23" s="34" t="str">
        <f>CONCATENATE(A7," LZ, Average Disposable Income per Adult Equivalent (",Summary!C6,")")</f>
        <v>Banana Coffee Piggery LZ, Average Disposable Income per Adult Equivalent (UGX)</v>
      </c>
      <c r="H23" t="str">
        <f t="shared" si="4"/>
        <v xml:space="preserve"> </v>
      </c>
      <c r="I23" t="str">
        <f t="shared" si="2"/>
        <v xml:space="preserve"> </v>
      </c>
      <c r="J23" s="2" t="str">
        <f t="shared" si="2"/>
        <v xml:space="preserve"> </v>
      </c>
      <c r="K23" s="2" t="str">
        <f t="shared" si="5"/>
        <v xml:space="preserve"> </v>
      </c>
      <c r="M23" s="73" t="str">
        <f t="shared" si="6"/>
        <v xml:space="preserve"> </v>
      </c>
      <c r="N23" s="73" t="str">
        <f t="shared" si="7"/>
        <v xml:space="preserve"> </v>
      </c>
      <c r="O23" s="74" t="str">
        <f t="shared" si="3"/>
        <v xml:space="preserve"> </v>
      </c>
    </row>
    <row r="24" spans="1:15">
      <c r="A24" s="4"/>
      <c r="B24" s="55">
        <f>'[1]366 Community Disposable Income'!B24</f>
        <v>0</v>
      </c>
      <c r="C24" s="55">
        <f>'[1]366 Community Disposable Income'!C24</f>
        <v>0</v>
      </c>
      <c r="D24" s="55">
        <f>'[1]366 Community Disposable Income'!D24</f>
        <v>0</v>
      </c>
      <c r="E24" s="55">
        <f>'[1]366 Community Disposable Income'!E24</f>
        <v>0</v>
      </c>
      <c r="H24" t="str">
        <f t="shared" si="4"/>
        <v xml:space="preserve"> </v>
      </c>
      <c r="I24" t="str">
        <f t="shared" si="2"/>
        <v xml:space="preserve"> </v>
      </c>
      <c r="J24" s="2" t="str">
        <f t="shared" si="2"/>
        <v xml:space="preserve"> </v>
      </c>
      <c r="K24" s="2" t="str">
        <f t="shared" si="5"/>
        <v xml:space="preserve"> </v>
      </c>
      <c r="M24" s="73" t="str">
        <f t="shared" si="6"/>
        <v xml:space="preserve"> </v>
      </c>
      <c r="N24" s="73" t="str">
        <f t="shared" si="7"/>
        <v xml:space="preserve"> </v>
      </c>
      <c r="O24" s="74" t="str">
        <f t="shared" si="3"/>
        <v xml:space="preserve"> </v>
      </c>
    </row>
    <row r="25" spans="1:15">
      <c r="A25" s="4"/>
      <c r="B25" s="55">
        <f>'[1]366 Community Disposable Income'!B25</f>
        <v>0</v>
      </c>
      <c r="C25" s="55">
        <f>'[1]366 Community Disposable Income'!C25</f>
        <v>0</v>
      </c>
      <c r="D25" s="55">
        <f>'[1]366 Community Disposable Income'!D25</f>
        <v>0</v>
      </c>
      <c r="E25" s="55">
        <f>'[1]366 Community Disposable Income'!E25</f>
        <v>0</v>
      </c>
      <c r="H25" t="str">
        <f t="shared" si="4"/>
        <v xml:space="preserve"> </v>
      </c>
      <c r="I25" t="str">
        <f t="shared" si="2"/>
        <v xml:space="preserve"> </v>
      </c>
      <c r="J25" s="2" t="str">
        <f t="shared" si="2"/>
        <v xml:space="preserve"> </v>
      </c>
      <c r="K25" s="2" t="str">
        <f t="shared" si="5"/>
        <v xml:space="preserve"> </v>
      </c>
      <c r="M25" s="73" t="str">
        <f t="shared" si="6"/>
        <v xml:space="preserve"> </v>
      </c>
      <c r="N25" s="73" t="str">
        <f t="shared" si="7"/>
        <v xml:space="preserve"> </v>
      </c>
      <c r="O25" s="74" t="str">
        <f t="shared" si="3"/>
        <v xml:space="preserve"> </v>
      </c>
    </row>
    <row r="26" spans="1:15">
      <c r="A26" s="4"/>
      <c r="B26" s="55">
        <f>'[1]366 Community Disposable Income'!B26</f>
        <v>0</v>
      </c>
      <c r="C26" s="55">
        <f>'[1]366 Community Disposable Income'!C26</f>
        <v>0</v>
      </c>
      <c r="D26" s="55">
        <f>'[1]366 Community Disposable Income'!D26</f>
        <v>0</v>
      </c>
      <c r="E26" s="55">
        <f>'[1]366 Community Disposable Income'!E26</f>
        <v>0</v>
      </c>
      <c r="H26" t="str">
        <f t="shared" si="4"/>
        <v xml:space="preserve"> </v>
      </c>
      <c r="I26" t="str">
        <f t="shared" si="2"/>
        <v xml:space="preserve"> </v>
      </c>
      <c r="J26" s="2" t="str">
        <f t="shared" si="2"/>
        <v xml:space="preserve"> </v>
      </c>
      <c r="K26" s="2" t="str">
        <f t="shared" si="5"/>
        <v xml:space="preserve"> </v>
      </c>
      <c r="M26" s="73" t="str">
        <f t="shared" si="6"/>
        <v xml:space="preserve"> </v>
      </c>
      <c r="N26" s="73" t="str">
        <f t="shared" si="7"/>
        <v xml:space="preserve"> </v>
      </c>
      <c r="O26" s="74" t="str">
        <f t="shared" si="3"/>
        <v xml:space="preserve"> </v>
      </c>
    </row>
    <row r="27" spans="1:15">
      <c r="A27" s="4"/>
      <c r="B27" s="55">
        <f>'[1]366 Community Disposable Income'!B27</f>
        <v>0</v>
      </c>
      <c r="C27" s="55">
        <f>'[1]366 Community Disposable Income'!C27</f>
        <v>0</v>
      </c>
      <c r="D27" s="55">
        <f>'[1]366 Community Disposable Income'!D27</f>
        <v>0</v>
      </c>
      <c r="E27" s="55">
        <f>'[1]366 Community Disposable Income'!E27</f>
        <v>0</v>
      </c>
      <c r="H27" t="str">
        <f t="shared" si="4"/>
        <v xml:space="preserve"> </v>
      </c>
      <c r="I27" t="str">
        <f t="shared" si="2"/>
        <v xml:space="preserve"> </v>
      </c>
      <c r="J27" s="2" t="str">
        <f t="shared" si="2"/>
        <v xml:space="preserve"> </v>
      </c>
      <c r="K27" s="2" t="str">
        <f t="shared" si="5"/>
        <v xml:space="preserve"> </v>
      </c>
      <c r="M27" s="73" t="str">
        <f t="shared" si="6"/>
        <v xml:space="preserve"> </v>
      </c>
      <c r="N27" s="73" t="str">
        <f t="shared" si="7"/>
        <v xml:space="preserve"> </v>
      </c>
      <c r="O27" s="74" t="str">
        <f t="shared" si="3"/>
        <v xml:space="preserve"> </v>
      </c>
    </row>
    <row r="28" spans="1:15">
      <c r="A28" s="4"/>
      <c r="B28" s="55">
        <f>'[1]366 Community Disposable Income'!B28</f>
        <v>0</v>
      </c>
      <c r="C28" s="55">
        <f>'[1]366 Community Disposable Income'!C28</f>
        <v>0</v>
      </c>
      <c r="D28" s="55">
        <f>'[1]366 Community Disposable Income'!D28</f>
        <v>0</v>
      </c>
      <c r="E28" s="55">
        <f>'[1]366 Community Disposable Income'!E28</f>
        <v>0</v>
      </c>
      <c r="H28" t="s">
        <v>17</v>
      </c>
      <c r="I28" t="str">
        <f t="shared" si="2"/>
        <v xml:space="preserve"> </v>
      </c>
      <c r="J28" s="2" t="str">
        <f t="shared" si="2"/>
        <v xml:space="preserve"> </v>
      </c>
      <c r="K28" s="2" t="str">
        <f t="shared" si="5"/>
        <v xml:space="preserve"> </v>
      </c>
      <c r="M28" s="73" t="str">
        <f t="shared" si="6"/>
        <v xml:space="preserve"> </v>
      </c>
      <c r="N28" s="73" t="str">
        <f t="shared" si="7"/>
        <v xml:space="preserve"> </v>
      </c>
      <c r="O28" s="74" t="str">
        <f>IF(K28&lt;&gt;" ",K28/J28," ")</f>
        <v xml:space="preserve"> </v>
      </c>
    </row>
    <row r="29" spans="1:15">
      <c r="A29" s="4"/>
      <c r="B29" s="55">
        <f>'[1]366 Community Disposable Income'!B29</f>
        <v>0</v>
      </c>
      <c r="C29" s="55">
        <f>'[1]366 Community Disposable Income'!C29</f>
        <v>0</v>
      </c>
      <c r="D29" s="55">
        <f>'[1]366 Community Disposable Income'!D29</f>
        <v>0</v>
      </c>
      <c r="E29" s="55">
        <f>'[1]366 Community Disposable Income'!E29</f>
        <v>0</v>
      </c>
      <c r="H29" t="str">
        <f t="shared" si="2"/>
        <v xml:space="preserve"> </v>
      </c>
      <c r="I29" t="str">
        <f t="shared" si="2"/>
        <v xml:space="preserve"> </v>
      </c>
      <c r="J29" s="2" t="str">
        <f t="shared" si="2"/>
        <v xml:space="preserve"> </v>
      </c>
      <c r="K29" s="2" t="str">
        <f t="shared" si="5"/>
        <v xml:space="preserve"> </v>
      </c>
      <c r="M29" s="73" t="str">
        <f t="shared" si="6"/>
        <v xml:space="preserve"> </v>
      </c>
      <c r="N29" s="73" t="str">
        <f t="shared" si="7"/>
        <v xml:space="preserve"> </v>
      </c>
      <c r="O29" s="74" t="str">
        <f t="shared" ref="O29:O87" si="8">IF(K29&lt;&gt;" ",K29/J29," ")</f>
        <v xml:space="preserve"> </v>
      </c>
    </row>
    <row r="30" spans="1:15">
      <c r="A30" s="4"/>
      <c r="B30" s="55">
        <f>'[1]366 Community Disposable Income'!B30</f>
        <v>0</v>
      </c>
      <c r="C30" s="55">
        <f>'[1]366 Community Disposable Income'!C30</f>
        <v>0</v>
      </c>
      <c r="D30" s="55">
        <f>'[1]366 Community Disposable Income'!D30</f>
        <v>0</v>
      </c>
      <c r="E30" s="55">
        <f>'[1]366 Community Disposable Income'!E30</f>
        <v>0</v>
      </c>
      <c r="H30" t="str">
        <f t="shared" si="2"/>
        <v xml:space="preserve"> </v>
      </c>
      <c r="I30" t="str">
        <f t="shared" si="2"/>
        <v xml:space="preserve"> </v>
      </c>
      <c r="J30" s="2" t="str">
        <f t="shared" si="2"/>
        <v xml:space="preserve"> </v>
      </c>
      <c r="K30" s="2" t="str">
        <f t="shared" si="5"/>
        <v xml:space="preserve"> </v>
      </c>
      <c r="M30" s="73" t="str">
        <f t="shared" si="6"/>
        <v xml:space="preserve"> </v>
      </c>
      <c r="N30" s="73" t="str">
        <f t="shared" si="7"/>
        <v xml:space="preserve"> </v>
      </c>
      <c r="O30" s="74" t="str">
        <f t="shared" si="8"/>
        <v xml:space="preserve"> </v>
      </c>
    </row>
    <row r="31" spans="1:15">
      <c r="A31" s="4"/>
      <c r="B31" s="55">
        <f>'[1]366 Community Disposable Income'!B31</f>
        <v>0</v>
      </c>
      <c r="C31" s="55">
        <f>'[1]366 Community Disposable Income'!C31</f>
        <v>0</v>
      </c>
      <c r="D31" s="55">
        <f>'[1]366 Community Disposable Income'!D31</f>
        <v>0</v>
      </c>
      <c r="E31" s="55">
        <f>'[1]366 Community Disposable Income'!E31</f>
        <v>0</v>
      </c>
      <c r="H31" t="str">
        <f t="shared" si="2"/>
        <v xml:space="preserve"> </v>
      </c>
      <c r="I31" t="str">
        <f t="shared" si="2"/>
        <v xml:space="preserve"> </v>
      </c>
      <c r="J31" s="2" t="str">
        <f t="shared" si="2"/>
        <v xml:space="preserve"> </v>
      </c>
      <c r="K31" s="2" t="str">
        <f t="shared" si="5"/>
        <v xml:space="preserve"> </v>
      </c>
      <c r="M31" s="73" t="str">
        <f t="shared" si="6"/>
        <v xml:space="preserve"> </v>
      </c>
      <c r="N31" s="73" t="str">
        <f t="shared" si="7"/>
        <v xml:space="preserve"> </v>
      </c>
      <c r="O31" s="74" t="str">
        <f t="shared" si="8"/>
        <v xml:space="preserve"> </v>
      </c>
    </row>
    <row r="32" spans="1:15">
      <c r="A32" s="4"/>
      <c r="B32" s="55">
        <f>'[1]366 Community Disposable Income'!B32</f>
        <v>0</v>
      </c>
      <c r="C32" s="55">
        <f>'[1]366 Community Disposable Income'!C32</f>
        <v>0</v>
      </c>
      <c r="D32" s="55">
        <f>'[1]366 Community Disposable Income'!D32</f>
        <v>0</v>
      </c>
      <c r="E32" s="55">
        <f>'[1]366 Community Disposable Income'!E32</f>
        <v>0</v>
      </c>
      <c r="H32" t="str">
        <f t="shared" si="2"/>
        <v xml:space="preserve"> </v>
      </c>
      <c r="I32" t="str">
        <f t="shared" si="2"/>
        <v xml:space="preserve"> </v>
      </c>
      <c r="J32" s="2" t="str">
        <f t="shared" si="2"/>
        <v xml:space="preserve"> </v>
      </c>
      <c r="K32" s="2" t="str">
        <f t="shared" si="5"/>
        <v xml:space="preserve"> </v>
      </c>
      <c r="M32" s="73" t="str">
        <f t="shared" si="6"/>
        <v xml:space="preserve"> </v>
      </c>
      <c r="N32" s="73" t="str">
        <f t="shared" si="7"/>
        <v xml:space="preserve"> </v>
      </c>
      <c r="O32" s="74" t="str">
        <f t="shared" si="8"/>
        <v xml:space="preserve"> </v>
      </c>
    </row>
    <row r="33" spans="1:15">
      <c r="A33" s="4"/>
      <c r="B33" s="55">
        <f>'[1]366 Community Disposable Income'!B33</f>
        <v>0</v>
      </c>
      <c r="C33" s="55">
        <f>'[1]366 Community Disposable Income'!C33</f>
        <v>0</v>
      </c>
      <c r="D33" s="55">
        <f>'[1]366 Community Disposable Income'!D33</f>
        <v>0</v>
      </c>
      <c r="E33" s="55">
        <f>'[1]366 Community Disposable Income'!E33</f>
        <v>0</v>
      </c>
      <c r="H33" t="str">
        <f t="shared" si="2"/>
        <v xml:space="preserve"> </v>
      </c>
      <c r="I33" t="str">
        <f t="shared" si="2"/>
        <v xml:space="preserve"> </v>
      </c>
      <c r="J33" s="2" t="str">
        <f t="shared" si="2"/>
        <v xml:space="preserve"> </v>
      </c>
      <c r="K33" s="2" t="str">
        <f t="shared" si="5"/>
        <v xml:space="preserve"> </v>
      </c>
      <c r="M33" s="73" t="str">
        <f t="shared" si="6"/>
        <v xml:space="preserve"> </v>
      </c>
      <c r="N33" s="73" t="str">
        <f t="shared" si="7"/>
        <v xml:space="preserve"> </v>
      </c>
      <c r="O33" s="74" t="str">
        <f t="shared" si="8"/>
        <v xml:space="preserve"> </v>
      </c>
    </row>
    <row r="34" spans="1:15">
      <c r="A34" s="4"/>
      <c r="B34" s="55">
        <f>'[1]366 Community Disposable Income'!B34</f>
        <v>0</v>
      </c>
      <c r="C34" s="55">
        <f>'[1]366 Community Disposable Income'!C34</f>
        <v>0</v>
      </c>
      <c r="D34" s="55">
        <f>'[1]366 Community Disposable Income'!D34</f>
        <v>0</v>
      </c>
      <c r="E34" s="55">
        <f>'[1]366 Community Disposable Income'!E34</f>
        <v>0</v>
      </c>
      <c r="H34" t="str">
        <f t="shared" si="2"/>
        <v xml:space="preserve"> </v>
      </c>
      <c r="I34" t="str">
        <f t="shared" si="2"/>
        <v xml:space="preserve"> </v>
      </c>
      <c r="J34" s="2" t="str">
        <f t="shared" si="2"/>
        <v xml:space="preserve"> </v>
      </c>
      <c r="K34" s="2" t="str">
        <f t="shared" si="5"/>
        <v xml:space="preserve"> </v>
      </c>
      <c r="M34" s="73" t="str">
        <f t="shared" si="6"/>
        <v xml:space="preserve"> </v>
      </c>
      <c r="N34" s="73" t="str">
        <f t="shared" si="7"/>
        <v xml:space="preserve"> </v>
      </c>
      <c r="O34" s="74" t="str">
        <f t="shared" si="8"/>
        <v xml:space="preserve"> </v>
      </c>
    </row>
    <row r="35" spans="1:15">
      <c r="A35" s="4"/>
      <c r="B35" s="55">
        <f>'[1]366 Community Disposable Income'!B35</f>
        <v>0</v>
      </c>
      <c r="C35" s="55">
        <f>'[1]366 Community Disposable Income'!C35</f>
        <v>0</v>
      </c>
      <c r="D35" s="55">
        <f>'[1]366 Community Disposable Income'!D35</f>
        <v>0</v>
      </c>
      <c r="E35" s="55">
        <f>'[1]366 Community Disposable Income'!E35</f>
        <v>0</v>
      </c>
      <c r="H35" t="str">
        <f t="shared" si="2"/>
        <v xml:space="preserve"> </v>
      </c>
      <c r="I35" t="str">
        <f t="shared" si="2"/>
        <v xml:space="preserve"> </v>
      </c>
      <c r="J35" s="2" t="str">
        <f t="shared" si="2"/>
        <v xml:space="preserve"> </v>
      </c>
      <c r="K35" s="2" t="str">
        <f t="shared" si="5"/>
        <v xml:space="preserve"> </v>
      </c>
      <c r="M35" s="73" t="str">
        <f t="shared" si="6"/>
        <v xml:space="preserve"> </v>
      </c>
      <c r="N35" s="73" t="str">
        <f t="shared" si="7"/>
        <v xml:space="preserve"> </v>
      </c>
      <c r="O35" s="74" t="str">
        <f t="shared" si="8"/>
        <v xml:space="preserve"> </v>
      </c>
    </row>
    <row r="36" spans="1:15">
      <c r="A36" s="4"/>
      <c r="B36" s="55">
        <f>'[1]366 Community Disposable Income'!B36</f>
        <v>0</v>
      </c>
      <c r="C36" s="55">
        <f>'[1]366 Community Disposable Income'!C36</f>
        <v>0</v>
      </c>
      <c r="D36" s="55">
        <f>'[1]366 Community Disposable Income'!D36</f>
        <v>0</v>
      </c>
      <c r="E36" s="55">
        <f>'[1]366 Community Disposable Income'!E36</f>
        <v>0</v>
      </c>
      <c r="H36" t="str">
        <f t="shared" si="2"/>
        <v xml:space="preserve"> </v>
      </c>
      <c r="I36" t="str">
        <f t="shared" si="2"/>
        <v xml:space="preserve"> </v>
      </c>
      <c r="J36" s="2" t="str">
        <f t="shared" si="2"/>
        <v xml:space="preserve"> </v>
      </c>
      <c r="K36" s="2" t="str">
        <f t="shared" si="5"/>
        <v xml:space="preserve"> </v>
      </c>
      <c r="M36" s="73" t="str">
        <f t="shared" si="6"/>
        <v xml:space="preserve"> </v>
      </c>
      <c r="N36" s="73" t="str">
        <f t="shared" si="7"/>
        <v xml:space="preserve"> </v>
      </c>
      <c r="O36" s="74" t="str">
        <f t="shared" si="8"/>
        <v xml:space="preserve"> </v>
      </c>
    </row>
    <row r="37" spans="1:15">
      <c r="A37" s="4"/>
      <c r="B37" s="55">
        <f>'[1]366 Community Disposable Income'!B37</f>
        <v>0</v>
      </c>
      <c r="C37" s="55">
        <f>'[1]366 Community Disposable Income'!C37</f>
        <v>0</v>
      </c>
      <c r="D37" s="55">
        <f>'[1]366 Community Disposable Income'!D37</f>
        <v>0</v>
      </c>
      <c r="E37" s="55">
        <f>'[1]366 Community Disposable Income'!E37</f>
        <v>0</v>
      </c>
      <c r="H37" t="str">
        <f t="shared" si="2"/>
        <v xml:space="preserve"> </v>
      </c>
      <c r="I37" t="str">
        <f t="shared" si="2"/>
        <v xml:space="preserve"> </v>
      </c>
      <c r="J37" s="2" t="str">
        <f t="shared" si="2"/>
        <v xml:space="preserve"> </v>
      </c>
      <c r="K37" s="2" t="str">
        <f t="shared" si="5"/>
        <v xml:space="preserve"> </v>
      </c>
      <c r="M37" s="73" t="str">
        <f t="shared" si="6"/>
        <v xml:space="preserve"> </v>
      </c>
      <c r="N37" s="73" t="str">
        <f t="shared" si="7"/>
        <v xml:space="preserve"> </v>
      </c>
      <c r="O37" s="74" t="str">
        <f t="shared" si="8"/>
        <v xml:space="preserve"> </v>
      </c>
    </row>
    <row r="38" spans="1:15">
      <c r="A38" s="4"/>
      <c r="B38" s="55">
        <f>'[1]366 Community Disposable Income'!B38</f>
        <v>0</v>
      </c>
      <c r="C38" s="55">
        <f>'[1]366 Community Disposable Income'!C38</f>
        <v>0</v>
      </c>
      <c r="D38" s="55">
        <f>'[1]366 Community Disposable Income'!D38</f>
        <v>0</v>
      </c>
      <c r="E38" s="55">
        <f>'[1]366 Community Disposable Income'!E38</f>
        <v>0</v>
      </c>
      <c r="H38" t="str">
        <f t="shared" si="2"/>
        <v xml:space="preserve"> </v>
      </c>
      <c r="I38" t="str">
        <f t="shared" si="2"/>
        <v xml:space="preserve"> </v>
      </c>
      <c r="J38" s="2" t="str">
        <f t="shared" si="2"/>
        <v xml:space="preserve"> </v>
      </c>
      <c r="K38" s="2" t="str">
        <f t="shared" si="5"/>
        <v xml:space="preserve"> </v>
      </c>
      <c r="M38" s="73" t="str">
        <f t="shared" si="6"/>
        <v xml:space="preserve"> </v>
      </c>
      <c r="N38" s="73" t="str">
        <f t="shared" si="7"/>
        <v xml:space="preserve"> </v>
      </c>
      <c r="O38" s="74" t="str">
        <f t="shared" si="8"/>
        <v xml:space="preserve"> </v>
      </c>
    </row>
    <row r="39" spans="1:15">
      <c r="A39" s="4"/>
      <c r="B39" s="55">
        <f>'[1]366 Community Disposable Income'!B39</f>
        <v>0</v>
      </c>
      <c r="C39" s="55">
        <f>'[1]366 Community Disposable Income'!C39</f>
        <v>0</v>
      </c>
      <c r="D39" s="55">
        <f>'[1]366 Community Disposable Income'!D39</f>
        <v>0</v>
      </c>
      <c r="E39" s="55">
        <f>'[1]366 Community Disposable Income'!E39</f>
        <v>0</v>
      </c>
      <c r="H39" t="str">
        <f t="shared" si="2"/>
        <v xml:space="preserve"> </v>
      </c>
      <c r="I39" t="str">
        <f t="shared" si="2"/>
        <v xml:space="preserve"> </v>
      </c>
      <c r="J39" s="2" t="str">
        <f t="shared" si="2"/>
        <v xml:space="preserve"> </v>
      </c>
      <c r="K39" s="2" t="str">
        <f t="shared" si="5"/>
        <v xml:space="preserve"> </v>
      </c>
      <c r="M39" s="73" t="str">
        <f t="shared" si="6"/>
        <v xml:space="preserve"> </v>
      </c>
      <c r="N39" s="73" t="str">
        <f t="shared" si="7"/>
        <v xml:space="preserve"> </v>
      </c>
      <c r="O39" s="74" t="str">
        <f t="shared" si="8"/>
        <v xml:space="preserve"> </v>
      </c>
    </row>
    <row r="40" spans="1:15">
      <c r="A40" s="4"/>
      <c r="B40" s="55">
        <f>'[1]366 Community Disposable Income'!B40</f>
        <v>0</v>
      </c>
      <c r="C40" s="55">
        <f>'[1]366 Community Disposable Income'!C40</f>
        <v>0</v>
      </c>
      <c r="D40" s="55">
        <f>'[1]366 Community Disposable Income'!D40</f>
        <v>0</v>
      </c>
      <c r="E40" s="55">
        <f>'[1]366 Community Disposable Income'!E40</f>
        <v>0</v>
      </c>
      <c r="H40" t="str">
        <f t="shared" si="2"/>
        <v xml:space="preserve"> </v>
      </c>
      <c r="I40" t="str">
        <f t="shared" si="2"/>
        <v xml:space="preserve"> </v>
      </c>
      <c r="J40" s="2" t="str">
        <f t="shared" si="2"/>
        <v xml:space="preserve"> </v>
      </c>
      <c r="K40" s="2" t="str">
        <f t="shared" si="5"/>
        <v xml:space="preserve"> </v>
      </c>
      <c r="M40" s="73" t="str">
        <f t="shared" si="6"/>
        <v xml:space="preserve"> </v>
      </c>
      <c r="N40" s="73" t="str">
        <f t="shared" si="7"/>
        <v xml:space="preserve"> </v>
      </c>
      <c r="O40" s="74" t="str">
        <f t="shared" si="8"/>
        <v xml:space="preserve"> </v>
      </c>
    </row>
    <row r="41" spans="1:15">
      <c r="A41" s="4"/>
      <c r="B41" s="55">
        <f>'[1]366 Community Disposable Income'!B41</f>
        <v>0</v>
      </c>
      <c r="C41" s="55">
        <f>'[1]366 Community Disposable Income'!C41</f>
        <v>0</v>
      </c>
      <c r="D41" s="55">
        <f>'[1]366 Community Disposable Income'!D41</f>
        <v>0</v>
      </c>
      <c r="E41" s="55">
        <f>'[1]366 Community Disposable Income'!E41</f>
        <v>0</v>
      </c>
      <c r="H41" t="str">
        <f t="shared" si="2"/>
        <v xml:space="preserve"> </v>
      </c>
      <c r="I41" t="str">
        <f t="shared" si="2"/>
        <v xml:space="preserve"> </v>
      </c>
      <c r="J41" s="2" t="str">
        <f t="shared" si="2"/>
        <v xml:space="preserve"> </v>
      </c>
      <c r="K41" s="2" t="str">
        <f t="shared" si="5"/>
        <v xml:space="preserve"> </v>
      </c>
      <c r="M41" s="73" t="str">
        <f t="shared" si="6"/>
        <v xml:space="preserve"> </v>
      </c>
      <c r="N41" s="73" t="str">
        <f t="shared" si="7"/>
        <v xml:space="preserve"> </v>
      </c>
      <c r="O41" s="74" t="str">
        <f t="shared" si="8"/>
        <v xml:space="preserve"> </v>
      </c>
    </row>
    <row r="42" spans="1:15">
      <c r="A42" s="4"/>
      <c r="B42" s="55">
        <f>'[1]366 Community Disposable Income'!B42</f>
        <v>0</v>
      </c>
      <c r="C42" s="55">
        <f>'[1]366 Community Disposable Income'!C42</f>
        <v>0</v>
      </c>
      <c r="D42" s="55">
        <f>'[1]366 Community Disposable Income'!D42</f>
        <v>0</v>
      </c>
      <c r="E42" s="55">
        <f>'[1]366 Community Disposable Income'!E42</f>
        <v>0</v>
      </c>
      <c r="H42" t="str">
        <f t="shared" si="2"/>
        <v xml:space="preserve"> </v>
      </c>
      <c r="I42" t="str">
        <f t="shared" si="2"/>
        <v xml:space="preserve"> </v>
      </c>
      <c r="J42" s="2" t="str">
        <f t="shared" si="2"/>
        <v xml:space="preserve"> </v>
      </c>
      <c r="K42" s="2" t="str">
        <f t="shared" si="5"/>
        <v xml:space="preserve"> </v>
      </c>
      <c r="M42" s="73" t="str">
        <f t="shared" si="6"/>
        <v xml:space="preserve"> </v>
      </c>
      <c r="N42" s="73" t="str">
        <f t="shared" si="7"/>
        <v xml:space="preserve"> </v>
      </c>
      <c r="O42" s="74" t="str">
        <f t="shared" si="8"/>
        <v xml:space="preserve"> </v>
      </c>
    </row>
    <row r="43" spans="1:15">
      <c r="A43" s="4"/>
      <c r="B43" s="55">
        <f>'[1]366 Community Disposable Income'!B43</f>
        <v>0</v>
      </c>
      <c r="C43" s="55">
        <f>'[1]366 Community Disposable Income'!C43</f>
        <v>0</v>
      </c>
      <c r="D43" s="55">
        <f>'[1]366 Community Disposable Income'!D43</f>
        <v>0</v>
      </c>
      <c r="E43" s="55">
        <f>'[1]366 Community Disposable Income'!E43</f>
        <v>0</v>
      </c>
      <c r="H43" t="str">
        <f t="shared" si="2"/>
        <v xml:space="preserve"> </v>
      </c>
      <c r="I43" t="str">
        <f t="shared" si="2"/>
        <v xml:space="preserve"> </v>
      </c>
      <c r="J43" s="2" t="str">
        <f t="shared" si="2"/>
        <v xml:space="preserve"> </v>
      </c>
      <c r="K43" s="2" t="str">
        <f t="shared" si="5"/>
        <v xml:space="preserve"> </v>
      </c>
      <c r="M43" s="73" t="str">
        <f t="shared" si="6"/>
        <v xml:space="preserve"> </v>
      </c>
      <c r="N43" s="73" t="str">
        <f t="shared" si="7"/>
        <v xml:space="preserve"> </v>
      </c>
      <c r="O43" s="74" t="str">
        <f t="shared" si="8"/>
        <v xml:space="preserve"> </v>
      </c>
    </row>
    <row r="44" spans="1:15">
      <c r="A44" s="4"/>
      <c r="B44" s="55">
        <f>'[1]366 Community Disposable Income'!B44</f>
        <v>0</v>
      </c>
      <c r="C44" s="55">
        <f>'[1]366 Community Disposable Income'!C44</f>
        <v>0</v>
      </c>
      <c r="D44" s="55">
        <f>'[1]366 Community Disposable Income'!D44</f>
        <v>0</v>
      </c>
      <c r="E44" s="55">
        <f>'[1]366 Community Disposable Income'!E44</f>
        <v>0</v>
      </c>
      <c r="H44" t="str">
        <f t="shared" si="2"/>
        <v xml:space="preserve"> </v>
      </c>
      <c r="I44" t="str">
        <f t="shared" si="2"/>
        <v xml:space="preserve"> </v>
      </c>
      <c r="J44" s="2" t="str">
        <f t="shared" si="2"/>
        <v xml:space="preserve"> </v>
      </c>
      <c r="K44" s="2" t="str">
        <f t="shared" si="5"/>
        <v xml:space="preserve"> </v>
      </c>
      <c r="M44" s="73" t="str">
        <f t="shared" si="6"/>
        <v xml:space="preserve"> </v>
      </c>
      <c r="N44" s="73" t="str">
        <f t="shared" si="7"/>
        <v xml:space="preserve"> </v>
      </c>
      <c r="O44" s="74" t="str">
        <f t="shared" si="8"/>
        <v xml:space="preserve"> </v>
      </c>
    </row>
    <row r="45" spans="1:15">
      <c r="A45" s="4"/>
      <c r="B45" s="55">
        <f>'[1]366 Community Disposable Income'!B45</f>
        <v>0</v>
      </c>
      <c r="C45" s="55">
        <f>'[1]366 Community Disposable Income'!C45</f>
        <v>0</v>
      </c>
      <c r="D45" s="55">
        <f>'[1]366 Community Disposable Income'!D45</f>
        <v>0</v>
      </c>
      <c r="E45" s="55">
        <f>'[1]366 Community Disposable Income'!E45</f>
        <v>0</v>
      </c>
      <c r="H45" t="str">
        <f t="shared" si="2"/>
        <v xml:space="preserve"> </v>
      </c>
      <c r="I45" t="str">
        <f t="shared" si="2"/>
        <v xml:space="preserve"> </v>
      </c>
      <c r="J45" s="2" t="str">
        <f t="shared" si="2"/>
        <v xml:space="preserve"> </v>
      </c>
      <c r="K45" s="2" t="str">
        <f t="shared" si="5"/>
        <v xml:space="preserve"> </v>
      </c>
      <c r="M45" s="73" t="str">
        <f t="shared" si="6"/>
        <v xml:space="preserve"> </v>
      </c>
      <c r="N45" s="73" t="str">
        <f t="shared" si="7"/>
        <v xml:space="preserve"> </v>
      </c>
      <c r="O45" s="74" t="str">
        <f t="shared" si="8"/>
        <v xml:space="preserve"> </v>
      </c>
    </row>
    <row r="46" spans="1:15">
      <c r="A46" s="4"/>
      <c r="B46" s="55">
        <f>'[1]366 Community Disposable Income'!B46</f>
        <v>0</v>
      </c>
      <c r="C46" s="55">
        <f>'[1]366 Community Disposable Income'!C46</f>
        <v>0</v>
      </c>
      <c r="D46" s="55">
        <f>'[1]366 Community Disposable Income'!D46</f>
        <v>0</v>
      </c>
      <c r="E46" s="55">
        <f>'[1]366 Community Disposable Income'!E46</f>
        <v>0</v>
      </c>
      <c r="H46" t="str">
        <f t="shared" si="2"/>
        <v xml:space="preserve"> </v>
      </c>
      <c r="I46" t="str">
        <f t="shared" si="2"/>
        <v xml:space="preserve"> </v>
      </c>
      <c r="J46" s="2" t="str">
        <f t="shared" si="2"/>
        <v xml:space="preserve"> </v>
      </c>
      <c r="K46" s="2" t="str">
        <f t="shared" si="5"/>
        <v xml:space="preserve"> </v>
      </c>
      <c r="M46" s="73" t="str">
        <f t="shared" si="6"/>
        <v xml:space="preserve"> </v>
      </c>
      <c r="N46" s="73" t="str">
        <f t="shared" si="7"/>
        <v xml:space="preserve"> </v>
      </c>
      <c r="O46" s="74" t="str">
        <f t="shared" si="8"/>
        <v xml:space="preserve"> </v>
      </c>
    </row>
    <row r="47" spans="1:15">
      <c r="A47" s="4"/>
      <c r="B47" s="55">
        <f>'[1]366 Community Disposable Income'!B47</f>
        <v>0</v>
      </c>
      <c r="C47" s="55">
        <f>'[1]366 Community Disposable Income'!C47</f>
        <v>0</v>
      </c>
      <c r="D47" s="55">
        <f>'[1]366 Community Disposable Income'!D47</f>
        <v>0</v>
      </c>
      <c r="E47" s="55">
        <f>'[1]366 Community Disposable Income'!E47</f>
        <v>0</v>
      </c>
      <c r="H47" t="str">
        <f t="shared" si="2"/>
        <v xml:space="preserve"> </v>
      </c>
      <c r="I47" t="str">
        <f t="shared" si="2"/>
        <v xml:space="preserve"> </v>
      </c>
      <c r="J47" s="2" t="str">
        <f t="shared" si="2"/>
        <v xml:space="preserve"> </v>
      </c>
      <c r="K47" s="2" t="str">
        <f t="shared" si="5"/>
        <v xml:space="preserve"> </v>
      </c>
      <c r="M47" s="73" t="str">
        <f t="shared" si="6"/>
        <v xml:space="preserve"> </v>
      </c>
      <c r="N47" s="73" t="str">
        <f t="shared" si="7"/>
        <v xml:space="preserve"> </v>
      </c>
      <c r="O47" s="74" t="str">
        <f t="shared" si="8"/>
        <v xml:space="preserve"> </v>
      </c>
    </row>
    <row r="48" spans="1:15">
      <c r="A48" s="4"/>
      <c r="B48" s="55">
        <f>'[1]366 Community Disposable Income'!B48</f>
        <v>0</v>
      </c>
      <c r="C48" s="55">
        <f>'[1]366 Community Disposable Income'!C48</f>
        <v>0</v>
      </c>
      <c r="D48" s="55">
        <f>'[1]366 Community Disposable Income'!D48</f>
        <v>0</v>
      </c>
      <c r="E48" s="55">
        <f>'[1]366 Community Disposable Income'!E48</f>
        <v>0</v>
      </c>
      <c r="H48" t="str">
        <f t="shared" si="2"/>
        <v xml:space="preserve"> </v>
      </c>
      <c r="I48" t="str">
        <f t="shared" si="2"/>
        <v xml:space="preserve"> </v>
      </c>
      <c r="J48" s="2" t="str">
        <f t="shared" si="2"/>
        <v xml:space="preserve"> </v>
      </c>
      <c r="K48" s="2" t="str">
        <f t="shared" si="5"/>
        <v xml:space="preserve"> </v>
      </c>
      <c r="M48" s="73" t="str">
        <f t="shared" si="6"/>
        <v xml:space="preserve"> </v>
      </c>
      <c r="N48" s="73" t="str">
        <f t="shared" si="7"/>
        <v xml:space="preserve"> </v>
      </c>
      <c r="O48" s="74" t="str">
        <f t="shared" si="8"/>
        <v xml:space="preserve"> </v>
      </c>
    </row>
    <row r="49" spans="1:15">
      <c r="A49" s="4"/>
      <c r="B49" s="55">
        <f>'[1]366 Community Disposable Income'!B49</f>
        <v>0</v>
      </c>
      <c r="C49" s="55">
        <f>'[1]366 Community Disposable Income'!C49</f>
        <v>0</v>
      </c>
      <c r="D49" s="55">
        <f>'[1]366 Community Disposable Income'!D49</f>
        <v>0</v>
      </c>
      <c r="E49" s="55">
        <f>'[1]366 Community Disposable Income'!E49</f>
        <v>0</v>
      </c>
      <c r="H49" t="str">
        <f t="shared" si="2"/>
        <v xml:space="preserve"> </v>
      </c>
      <c r="I49" t="str">
        <f t="shared" si="2"/>
        <v xml:space="preserve"> </v>
      </c>
      <c r="J49" s="2" t="str">
        <f t="shared" si="2"/>
        <v xml:space="preserve"> </v>
      </c>
      <c r="K49" s="2" t="str">
        <f t="shared" si="5"/>
        <v xml:space="preserve"> </v>
      </c>
      <c r="M49" s="73" t="str">
        <f t="shared" si="6"/>
        <v xml:space="preserve"> </v>
      </c>
      <c r="N49" s="73" t="str">
        <f t="shared" si="7"/>
        <v xml:space="preserve"> </v>
      </c>
      <c r="O49" s="74" t="str">
        <f t="shared" si="8"/>
        <v xml:space="preserve"> </v>
      </c>
    </row>
    <row r="50" spans="1:15">
      <c r="A50" s="4"/>
      <c r="B50" s="55">
        <f>'[1]366 Community Disposable Income'!B50</f>
        <v>0</v>
      </c>
      <c r="C50" s="55">
        <f>'[1]366 Community Disposable Income'!C50</f>
        <v>0</v>
      </c>
      <c r="D50" s="55">
        <f>'[1]366 Community Disposable Income'!D50</f>
        <v>0</v>
      </c>
      <c r="E50" s="55">
        <f>'[1]366 Community Disposable Income'!E50</f>
        <v>0</v>
      </c>
      <c r="H50" t="str">
        <f t="shared" si="2"/>
        <v xml:space="preserve"> </v>
      </c>
      <c r="I50" t="str">
        <f t="shared" si="2"/>
        <v xml:space="preserve"> </v>
      </c>
      <c r="J50" s="2" t="str">
        <f t="shared" si="2"/>
        <v xml:space="preserve"> </v>
      </c>
      <c r="K50" s="2" t="str">
        <f t="shared" si="5"/>
        <v xml:space="preserve"> </v>
      </c>
      <c r="M50" s="73" t="str">
        <f t="shared" si="6"/>
        <v xml:space="preserve"> </v>
      </c>
      <c r="N50" s="73" t="str">
        <f t="shared" si="7"/>
        <v xml:space="preserve"> </v>
      </c>
      <c r="O50" s="74" t="str">
        <f t="shared" si="8"/>
        <v xml:space="preserve"> </v>
      </c>
    </row>
    <row r="51" spans="1:15">
      <c r="A51" s="4"/>
      <c r="B51" s="55">
        <f>'[1]366 Community Disposable Income'!B51</f>
        <v>0</v>
      </c>
      <c r="C51" s="55">
        <f>'[1]366 Community Disposable Income'!C51</f>
        <v>0</v>
      </c>
      <c r="D51" s="55">
        <f>'[1]366 Community Disposable Income'!D51</f>
        <v>0</v>
      </c>
      <c r="E51" s="55">
        <f>'[1]366 Community Disposable Income'!E51</f>
        <v>0</v>
      </c>
      <c r="H51" t="str">
        <f t="shared" si="2"/>
        <v xml:space="preserve"> </v>
      </c>
      <c r="I51" t="str">
        <f t="shared" si="2"/>
        <v xml:space="preserve"> </v>
      </c>
      <c r="J51" s="2" t="str">
        <f t="shared" si="2"/>
        <v xml:space="preserve"> </v>
      </c>
      <c r="K51" s="2" t="str">
        <f t="shared" si="5"/>
        <v xml:space="preserve"> </v>
      </c>
      <c r="M51" s="73" t="str">
        <f t="shared" si="6"/>
        <v xml:space="preserve"> </v>
      </c>
      <c r="N51" s="73" t="str">
        <f t="shared" si="7"/>
        <v xml:space="preserve"> </v>
      </c>
      <c r="O51" s="74" t="str">
        <f t="shared" si="8"/>
        <v xml:space="preserve"> </v>
      </c>
    </row>
    <row r="52" spans="1:15">
      <c r="A52" s="4"/>
      <c r="B52" s="55">
        <f>'[1]366 Community Disposable Income'!B52</f>
        <v>0</v>
      </c>
      <c r="C52" s="55">
        <f>'[1]366 Community Disposable Income'!C52</f>
        <v>0</v>
      </c>
      <c r="D52" s="55">
        <f>'[1]366 Community Disposable Income'!D52</f>
        <v>0</v>
      </c>
      <c r="E52" s="55">
        <f>'[1]366 Community Disposable Income'!E52</f>
        <v>0</v>
      </c>
      <c r="H52" t="str">
        <f t="shared" si="2"/>
        <v xml:space="preserve"> </v>
      </c>
      <c r="I52" t="str">
        <f t="shared" si="2"/>
        <v xml:space="preserve"> </v>
      </c>
      <c r="J52" s="2" t="str">
        <f t="shared" si="2"/>
        <v xml:space="preserve"> </v>
      </c>
      <c r="K52" s="2" t="str">
        <f t="shared" si="5"/>
        <v xml:space="preserve"> </v>
      </c>
      <c r="M52" s="73" t="str">
        <f t="shared" si="6"/>
        <v xml:space="preserve"> </v>
      </c>
      <c r="N52" s="73" t="str">
        <f t="shared" si="7"/>
        <v xml:space="preserve"> </v>
      </c>
      <c r="O52" s="74" t="str">
        <f t="shared" si="8"/>
        <v xml:space="preserve"> </v>
      </c>
    </row>
    <row r="53" spans="1:15">
      <c r="A53" s="4"/>
      <c r="B53" s="55">
        <f>'[1]366 Community Disposable Income'!B53</f>
        <v>0</v>
      </c>
      <c r="C53" s="55">
        <f>'[1]366 Community Disposable Income'!C53</f>
        <v>0</v>
      </c>
      <c r="D53" s="55">
        <f>'[1]366 Community Disposable Income'!D53</f>
        <v>0</v>
      </c>
      <c r="E53" s="55">
        <f>'[1]366 Community Disposable Income'!E53</f>
        <v>0</v>
      </c>
      <c r="H53" t="str">
        <f t="shared" si="2"/>
        <v xml:space="preserve"> </v>
      </c>
      <c r="I53" t="str">
        <f t="shared" si="2"/>
        <v xml:space="preserve"> </v>
      </c>
      <c r="J53" s="2" t="str">
        <f t="shared" si="2"/>
        <v xml:space="preserve"> </v>
      </c>
      <c r="K53" s="2" t="str">
        <f t="shared" si="5"/>
        <v xml:space="preserve"> </v>
      </c>
      <c r="M53" s="73" t="str">
        <f t="shared" si="6"/>
        <v xml:space="preserve"> </v>
      </c>
      <c r="N53" s="73" t="str">
        <f t="shared" si="7"/>
        <v xml:space="preserve"> </v>
      </c>
      <c r="O53" s="74" t="str">
        <f t="shared" si="8"/>
        <v xml:space="preserve"> </v>
      </c>
    </row>
    <row r="54" spans="1:15">
      <c r="A54" s="4"/>
      <c r="B54" s="55">
        <f>'[1]366 Community Disposable Income'!B54</f>
        <v>0</v>
      </c>
      <c r="C54" s="55">
        <f>'[1]366 Community Disposable Income'!C54</f>
        <v>0</v>
      </c>
      <c r="D54" s="55">
        <f>'[1]366 Community Disposable Income'!D54</f>
        <v>0</v>
      </c>
      <c r="E54" s="55">
        <f>'[1]366 Community Disposable Income'!E54</f>
        <v>0</v>
      </c>
      <c r="H54" t="str">
        <f t="shared" si="2"/>
        <v xml:space="preserve"> </v>
      </c>
      <c r="I54" t="str">
        <f t="shared" si="2"/>
        <v xml:space="preserve"> </v>
      </c>
      <c r="J54" s="2" t="str">
        <f t="shared" si="2"/>
        <v xml:space="preserve"> </v>
      </c>
      <c r="K54" s="2" t="str">
        <f t="shared" si="5"/>
        <v xml:space="preserve"> </v>
      </c>
      <c r="M54" s="73" t="str">
        <f t="shared" si="6"/>
        <v xml:space="preserve"> </v>
      </c>
      <c r="N54" s="73" t="str">
        <f t="shared" si="7"/>
        <v xml:space="preserve"> </v>
      </c>
      <c r="O54" s="74" t="str">
        <f t="shared" si="8"/>
        <v xml:space="preserve"> </v>
      </c>
    </row>
    <row r="55" spans="1:15">
      <c r="A55" s="4"/>
      <c r="B55" s="55">
        <f>'[1]366 Community Disposable Income'!B55</f>
        <v>0</v>
      </c>
      <c r="C55" s="55">
        <f>'[1]366 Community Disposable Income'!C55</f>
        <v>0</v>
      </c>
      <c r="D55" s="55">
        <f>'[1]366 Community Disposable Income'!D55</f>
        <v>0</v>
      </c>
      <c r="E55" s="55">
        <f>'[1]366 Community Disposable Income'!E55</f>
        <v>0</v>
      </c>
      <c r="H55" t="str">
        <f t="shared" si="2"/>
        <v xml:space="preserve"> </v>
      </c>
      <c r="I55" t="str">
        <f t="shared" si="2"/>
        <v xml:space="preserve"> </v>
      </c>
      <c r="J55" s="2" t="str">
        <f t="shared" si="2"/>
        <v xml:space="preserve"> </v>
      </c>
      <c r="K55" s="2" t="str">
        <f t="shared" si="5"/>
        <v xml:space="preserve"> </v>
      </c>
      <c r="M55" s="73" t="str">
        <f t="shared" si="6"/>
        <v xml:space="preserve"> </v>
      </c>
      <c r="N55" s="73" t="str">
        <f t="shared" si="7"/>
        <v xml:space="preserve"> </v>
      </c>
      <c r="O55" s="74" t="str">
        <f t="shared" si="8"/>
        <v xml:space="preserve"> </v>
      </c>
    </row>
    <row r="56" spans="1:15">
      <c r="A56" s="4"/>
      <c r="B56" s="55">
        <f>'[1]366 Community Disposable Income'!B56</f>
        <v>0</v>
      </c>
      <c r="C56" s="55">
        <f>'[1]366 Community Disposable Income'!C56</f>
        <v>0</v>
      </c>
      <c r="D56" s="55">
        <f>'[1]366 Community Disposable Income'!D56</f>
        <v>0</v>
      </c>
      <c r="E56" s="55">
        <f>'[1]366 Community Disposable Income'!E56</f>
        <v>0</v>
      </c>
      <c r="H56" t="str">
        <f t="shared" si="2"/>
        <v xml:space="preserve"> </v>
      </c>
      <c r="I56" t="str">
        <f t="shared" si="2"/>
        <v xml:space="preserve"> </v>
      </c>
      <c r="J56" s="2" t="str">
        <f t="shared" si="2"/>
        <v xml:space="preserve"> </v>
      </c>
      <c r="K56" s="2" t="str">
        <f t="shared" si="5"/>
        <v xml:space="preserve"> </v>
      </c>
      <c r="M56" s="73" t="str">
        <f t="shared" si="6"/>
        <v xml:space="preserve"> </v>
      </c>
      <c r="N56" s="73" t="str">
        <f t="shared" si="7"/>
        <v xml:space="preserve"> </v>
      </c>
      <c r="O56" s="74" t="str">
        <f t="shared" si="8"/>
        <v xml:space="preserve"> </v>
      </c>
    </row>
    <row r="57" spans="1:15">
      <c r="A57" s="4"/>
      <c r="B57" s="55">
        <f>'[1]366 Community Disposable Income'!B57</f>
        <v>0</v>
      </c>
      <c r="C57" s="55">
        <f>'[1]366 Community Disposable Income'!C57</f>
        <v>0</v>
      </c>
      <c r="D57" s="55">
        <f>'[1]366 Community Disposable Income'!D57</f>
        <v>0</v>
      </c>
      <c r="E57" s="55">
        <f>'[1]366 Community Disposable Income'!E57</f>
        <v>0</v>
      </c>
      <c r="H57" t="str">
        <f t="shared" si="2"/>
        <v xml:space="preserve"> </v>
      </c>
      <c r="I57" t="str">
        <f t="shared" si="2"/>
        <v xml:space="preserve"> </v>
      </c>
      <c r="J57" s="2" t="str">
        <f t="shared" si="2"/>
        <v xml:space="preserve"> </v>
      </c>
      <c r="K57" s="2" t="str">
        <f t="shared" si="5"/>
        <v xml:space="preserve"> </v>
      </c>
      <c r="M57" s="73" t="str">
        <f t="shared" si="6"/>
        <v xml:space="preserve"> </v>
      </c>
      <c r="N57" s="73" t="str">
        <f t="shared" si="7"/>
        <v xml:space="preserve"> </v>
      </c>
      <c r="O57" s="74" t="str">
        <f t="shared" si="8"/>
        <v xml:space="preserve"> </v>
      </c>
    </row>
    <row r="58" spans="1:15">
      <c r="A58" s="4"/>
      <c r="B58" s="55">
        <f>'[1]366 Community Disposable Income'!B58</f>
        <v>0</v>
      </c>
      <c r="C58" s="55">
        <f>'[1]366 Community Disposable Income'!C58</f>
        <v>0</v>
      </c>
      <c r="D58" s="55">
        <f>'[1]366 Community Disposable Income'!D58</f>
        <v>0</v>
      </c>
      <c r="E58" s="55">
        <f>'[1]366 Community Disposable Income'!E58</f>
        <v>0</v>
      </c>
      <c r="H58" t="str">
        <f t="shared" si="2"/>
        <v xml:space="preserve"> </v>
      </c>
      <c r="I58" t="str">
        <f t="shared" si="2"/>
        <v xml:space="preserve"> </v>
      </c>
      <c r="J58" s="2" t="str">
        <f t="shared" si="2"/>
        <v xml:space="preserve"> </v>
      </c>
      <c r="K58" s="2" t="str">
        <f t="shared" si="5"/>
        <v xml:space="preserve"> </v>
      </c>
      <c r="M58" s="73" t="str">
        <f t="shared" si="6"/>
        <v xml:space="preserve"> </v>
      </c>
      <c r="N58" s="73" t="str">
        <f t="shared" si="7"/>
        <v xml:space="preserve"> </v>
      </c>
      <c r="O58" s="74" t="str">
        <f t="shared" si="8"/>
        <v xml:space="preserve"> </v>
      </c>
    </row>
    <row r="59" spans="1:15">
      <c r="A59" s="4"/>
      <c r="B59" s="55">
        <f>'[1]366 Community Disposable Income'!B59</f>
        <v>0</v>
      </c>
      <c r="C59" s="55">
        <f>'[1]366 Community Disposable Income'!C59</f>
        <v>0</v>
      </c>
      <c r="D59" s="55">
        <f>'[1]366 Community Disposable Income'!D59</f>
        <v>0</v>
      </c>
      <c r="E59" s="55">
        <f>'[1]366 Community Disposable Income'!E59</f>
        <v>0</v>
      </c>
      <c r="H59" t="str">
        <f t="shared" si="2"/>
        <v xml:space="preserve"> </v>
      </c>
      <c r="I59" t="str">
        <f t="shared" si="2"/>
        <v xml:space="preserve"> </v>
      </c>
      <c r="J59" s="2" t="str">
        <f t="shared" si="2"/>
        <v xml:space="preserve"> </v>
      </c>
      <c r="K59" s="2" t="str">
        <f t="shared" si="5"/>
        <v xml:space="preserve"> </v>
      </c>
      <c r="M59" s="73" t="str">
        <f t="shared" si="6"/>
        <v xml:space="preserve"> </v>
      </c>
      <c r="N59" s="73" t="str">
        <f t="shared" si="7"/>
        <v xml:space="preserve"> </v>
      </c>
      <c r="O59" s="74" t="str">
        <f t="shared" si="8"/>
        <v xml:space="preserve"> </v>
      </c>
    </row>
    <row r="60" spans="1:15">
      <c r="A60" s="4"/>
      <c r="B60" s="55">
        <f>'[1]366 Community Disposable Income'!B60</f>
        <v>0</v>
      </c>
      <c r="C60" s="55">
        <f>'[1]366 Community Disposable Income'!C60</f>
        <v>0</v>
      </c>
      <c r="D60" s="55">
        <f>'[1]366 Community Disposable Income'!D60</f>
        <v>0</v>
      </c>
      <c r="E60" s="55">
        <f>'[1]366 Community Disposable Income'!E60</f>
        <v>0</v>
      </c>
      <c r="H60" t="str">
        <f t="shared" si="2"/>
        <v xml:space="preserve"> </v>
      </c>
      <c r="I60" t="str">
        <f t="shared" si="2"/>
        <v xml:space="preserve"> </v>
      </c>
      <c r="J60" s="2" t="str">
        <f t="shared" si="2"/>
        <v xml:space="preserve"> </v>
      </c>
      <c r="K60" s="2" t="str">
        <f t="shared" si="5"/>
        <v xml:space="preserve"> </v>
      </c>
      <c r="M60" s="73" t="str">
        <f t="shared" si="6"/>
        <v xml:space="preserve"> </v>
      </c>
      <c r="N60" s="73" t="str">
        <f t="shared" si="7"/>
        <v xml:space="preserve"> </v>
      </c>
      <c r="O60" s="74" t="str">
        <f t="shared" si="8"/>
        <v xml:space="preserve"> </v>
      </c>
    </row>
    <row r="61" spans="1:15">
      <c r="A61" s="4"/>
      <c r="B61" s="55">
        <f>'[1]366 Community Disposable Income'!B61</f>
        <v>0</v>
      </c>
      <c r="C61" s="55">
        <f>'[1]366 Community Disposable Income'!C61</f>
        <v>0</v>
      </c>
      <c r="D61" s="55">
        <f>'[1]366 Community Disposable Income'!D61</f>
        <v>0</v>
      </c>
      <c r="E61" s="55">
        <f>'[1]366 Community Disposable Income'!E61</f>
        <v>0</v>
      </c>
      <c r="H61" t="str">
        <f t="shared" si="2"/>
        <v xml:space="preserve"> </v>
      </c>
      <c r="I61" t="str">
        <f t="shared" si="2"/>
        <v xml:space="preserve"> </v>
      </c>
      <c r="J61" s="2" t="str">
        <f t="shared" si="2"/>
        <v xml:space="preserve"> </v>
      </c>
      <c r="K61" s="2" t="str">
        <f t="shared" si="5"/>
        <v xml:space="preserve"> </v>
      </c>
      <c r="M61" s="73" t="str">
        <f t="shared" si="6"/>
        <v xml:space="preserve"> </v>
      </c>
      <c r="N61" s="73" t="str">
        <f t="shared" si="7"/>
        <v xml:space="preserve"> </v>
      </c>
      <c r="O61" s="74" t="str">
        <f t="shared" si="8"/>
        <v xml:space="preserve"> </v>
      </c>
    </row>
    <row r="62" spans="1:15">
      <c r="A62" s="4"/>
      <c r="B62" s="55">
        <f>'[1]366 Community Disposable Income'!B62</f>
        <v>0</v>
      </c>
      <c r="C62" s="55">
        <f>'[1]366 Community Disposable Income'!C62</f>
        <v>0</v>
      </c>
      <c r="D62" s="55">
        <f>'[1]366 Community Disposable Income'!D62</f>
        <v>0</v>
      </c>
      <c r="E62" s="55">
        <f>'[1]366 Community Disposable Income'!E62</f>
        <v>0</v>
      </c>
      <c r="H62" t="str">
        <f t="shared" si="2"/>
        <v xml:space="preserve"> </v>
      </c>
      <c r="I62" t="str">
        <f t="shared" si="2"/>
        <v xml:space="preserve"> </v>
      </c>
      <c r="J62" s="2" t="str">
        <f t="shared" si="2"/>
        <v xml:space="preserve"> </v>
      </c>
      <c r="K62" s="2" t="str">
        <f t="shared" si="5"/>
        <v xml:space="preserve"> </v>
      </c>
      <c r="M62" s="73" t="str">
        <f t="shared" si="6"/>
        <v xml:space="preserve"> </v>
      </c>
      <c r="N62" s="73" t="str">
        <f t="shared" si="7"/>
        <v xml:space="preserve"> </v>
      </c>
      <c r="O62" s="74" t="str">
        <f t="shared" si="8"/>
        <v xml:space="preserve"> </v>
      </c>
    </row>
    <row r="63" spans="1:15">
      <c r="A63" s="4"/>
      <c r="B63" s="55">
        <f>'[1]366 Community Disposable Income'!B63</f>
        <v>0</v>
      </c>
      <c r="C63" s="55">
        <f>'[1]366 Community Disposable Income'!C63</f>
        <v>0</v>
      </c>
      <c r="D63" s="55">
        <f>'[1]366 Community Disposable Income'!D63</f>
        <v>0</v>
      </c>
      <c r="E63" s="55">
        <f>'[1]366 Community Disposable Income'!E63</f>
        <v>0</v>
      </c>
      <c r="H63" t="str">
        <f t="shared" si="2"/>
        <v xml:space="preserve"> </v>
      </c>
      <c r="I63" t="str">
        <f t="shared" si="2"/>
        <v xml:space="preserve"> </v>
      </c>
      <c r="J63" s="2" t="str">
        <f t="shared" si="2"/>
        <v xml:space="preserve"> </v>
      </c>
      <c r="K63" s="2" t="str">
        <f t="shared" si="5"/>
        <v xml:space="preserve"> </v>
      </c>
      <c r="M63" s="73" t="str">
        <f t="shared" si="6"/>
        <v xml:space="preserve"> </v>
      </c>
      <c r="N63" s="73" t="str">
        <f t="shared" si="7"/>
        <v xml:space="preserve"> </v>
      </c>
      <c r="O63" s="74" t="str">
        <f t="shared" si="8"/>
        <v xml:space="preserve"> </v>
      </c>
    </row>
    <row r="64" spans="1:15">
      <c r="A64" s="4"/>
      <c r="B64" s="55">
        <f>'[1]366 Community Disposable Income'!B64</f>
        <v>0</v>
      </c>
      <c r="C64" s="55">
        <f>'[1]366 Community Disposable Income'!C64</f>
        <v>0</v>
      </c>
      <c r="D64" s="55">
        <f>'[1]366 Community Disposable Income'!D64</f>
        <v>0</v>
      </c>
      <c r="E64" s="55">
        <f>'[1]366 Community Disposable Income'!E64</f>
        <v>0</v>
      </c>
      <c r="H64" t="str">
        <f t="shared" si="2"/>
        <v xml:space="preserve"> </v>
      </c>
      <c r="I64" t="str">
        <f t="shared" si="2"/>
        <v xml:space="preserve"> </v>
      </c>
      <c r="J64" s="2" t="str">
        <f t="shared" si="2"/>
        <v xml:space="preserve"> </v>
      </c>
      <c r="K64" s="2" t="str">
        <f t="shared" si="5"/>
        <v xml:space="preserve"> </v>
      </c>
      <c r="M64" s="73" t="str">
        <f t="shared" si="6"/>
        <v xml:space="preserve"> </v>
      </c>
      <c r="N64" s="73" t="str">
        <f t="shared" si="7"/>
        <v xml:space="preserve"> </v>
      </c>
      <c r="O64" s="74" t="str">
        <f t="shared" si="8"/>
        <v xml:space="preserve"> </v>
      </c>
    </row>
    <row r="65" spans="1:15">
      <c r="A65" s="4"/>
      <c r="B65" s="55">
        <f>'[1]366 Community Disposable Income'!B65</f>
        <v>0</v>
      </c>
      <c r="C65" s="55">
        <f>'[1]366 Community Disposable Income'!C65</f>
        <v>0</v>
      </c>
      <c r="D65" s="55">
        <f>'[1]366 Community Disposable Income'!D65</f>
        <v>0</v>
      </c>
      <c r="E65" s="55">
        <f>'[1]366 Community Disposable Income'!E65</f>
        <v>0</v>
      </c>
      <c r="H65" t="str">
        <f t="shared" si="2"/>
        <v xml:space="preserve"> </v>
      </c>
      <c r="I65" t="str">
        <f t="shared" si="2"/>
        <v xml:space="preserve"> </v>
      </c>
      <c r="J65" s="2" t="str">
        <f t="shared" si="2"/>
        <v xml:space="preserve"> </v>
      </c>
      <c r="K65" s="2" t="str">
        <f t="shared" si="5"/>
        <v xml:space="preserve"> </v>
      </c>
      <c r="M65" s="73" t="str">
        <f t="shared" si="6"/>
        <v xml:space="preserve"> </v>
      </c>
      <c r="N65" s="73" t="str">
        <f t="shared" si="7"/>
        <v xml:space="preserve"> </v>
      </c>
      <c r="O65" s="74" t="str">
        <f t="shared" si="8"/>
        <v xml:space="preserve"> </v>
      </c>
    </row>
    <row r="66" spans="1:15">
      <c r="A66" s="4"/>
      <c r="B66" s="55">
        <f>'[1]366 Community Disposable Income'!B66</f>
        <v>0</v>
      </c>
      <c r="C66" s="55">
        <f>'[1]366 Community Disposable Income'!C66</f>
        <v>0</v>
      </c>
      <c r="D66" s="55">
        <f>'[1]366 Community Disposable Income'!D66</f>
        <v>0</v>
      </c>
      <c r="E66" s="55">
        <f>'[1]366 Community Disposable Income'!E66</f>
        <v>0</v>
      </c>
      <c r="H66" t="str">
        <f t="shared" ref="H66:K99" si="9">IF(B66&lt;&gt;0,B66," ")</f>
        <v xml:space="preserve"> </v>
      </c>
      <c r="I66" t="str">
        <f t="shared" si="9"/>
        <v xml:space="preserve"> </v>
      </c>
      <c r="J66" s="2" t="str">
        <f t="shared" si="9"/>
        <v xml:space="preserve"> </v>
      </c>
      <c r="K66" s="2" t="str">
        <f t="shared" si="9"/>
        <v xml:space="preserve"> </v>
      </c>
      <c r="M66" s="73" t="str">
        <f t="shared" si="6"/>
        <v xml:space="preserve"> </v>
      </c>
      <c r="N66" s="73" t="str">
        <f t="shared" si="7"/>
        <v xml:space="preserve"> </v>
      </c>
      <c r="O66" s="74" t="str">
        <f t="shared" si="8"/>
        <v xml:space="preserve"> </v>
      </c>
    </row>
    <row r="67" spans="1:15">
      <c r="A67" s="4"/>
      <c r="B67" s="55">
        <f>'[1]366 Community Disposable Income'!B67</f>
        <v>0</v>
      </c>
      <c r="C67" s="55">
        <f>'[1]366 Community Disposable Income'!C67</f>
        <v>0</v>
      </c>
      <c r="D67" s="55">
        <f>'[1]366 Community Disposable Income'!D67</f>
        <v>0</v>
      </c>
      <c r="E67" s="55">
        <f>'[1]366 Community Disposable Income'!E67</f>
        <v>0</v>
      </c>
      <c r="H67" t="str">
        <f t="shared" si="9"/>
        <v xml:space="preserve"> </v>
      </c>
      <c r="I67" t="str">
        <f t="shared" si="9"/>
        <v xml:space="preserve"> </v>
      </c>
      <c r="J67" s="2" t="str">
        <f t="shared" si="9"/>
        <v xml:space="preserve"> </v>
      </c>
      <c r="K67" s="2" t="str">
        <f t="shared" si="9"/>
        <v xml:space="preserve"> </v>
      </c>
      <c r="M67" s="73" t="str">
        <f t="shared" si="6"/>
        <v xml:space="preserve"> </v>
      </c>
      <c r="N67" s="73" t="str">
        <f t="shared" si="7"/>
        <v xml:space="preserve"> </v>
      </c>
      <c r="O67" s="74" t="str">
        <f t="shared" si="8"/>
        <v xml:space="preserve"> </v>
      </c>
    </row>
    <row r="68" spans="1:15">
      <c r="A68" s="4"/>
      <c r="B68" s="55">
        <f>'[1]366 Community Disposable Income'!B68</f>
        <v>0</v>
      </c>
      <c r="C68" s="55">
        <f>'[1]366 Community Disposable Income'!C68</f>
        <v>0</v>
      </c>
      <c r="D68" s="55">
        <f>'[1]366 Community Disposable Income'!D68</f>
        <v>0</v>
      </c>
      <c r="E68" s="55">
        <f>'[1]366 Community Disposable Income'!E68</f>
        <v>0</v>
      </c>
      <c r="H68" t="str">
        <f t="shared" si="9"/>
        <v xml:space="preserve"> </v>
      </c>
      <c r="I68" t="str">
        <f t="shared" si="9"/>
        <v xml:space="preserve"> </v>
      </c>
      <c r="J68" s="2" t="str">
        <f t="shared" si="9"/>
        <v xml:space="preserve"> </v>
      </c>
      <c r="K68" s="2" t="str">
        <f t="shared" si="9"/>
        <v xml:space="preserve"> </v>
      </c>
      <c r="M68" s="73" t="str">
        <f t="shared" si="6"/>
        <v xml:space="preserve"> </v>
      </c>
      <c r="N68" s="73" t="str">
        <f t="shared" si="7"/>
        <v xml:space="preserve"> </v>
      </c>
      <c r="O68" s="74" t="str">
        <f t="shared" si="8"/>
        <v xml:space="preserve"> </v>
      </c>
    </row>
    <row r="69" spans="1:15">
      <c r="A69" s="4"/>
      <c r="B69" s="55">
        <f>'[1]366 Community Disposable Income'!B69</f>
        <v>0</v>
      </c>
      <c r="C69" s="55">
        <f>'[1]366 Community Disposable Income'!C69</f>
        <v>0</v>
      </c>
      <c r="D69" s="55">
        <f>'[1]366 Community Disposable Income'!D69</f>
        <v>0</v>
      </c>
      <c r="E69" s="55">
        <f>'[1]366 Community Disposable Income'!E69</f>
        <v>0</v>
      </c>
      <c r="H69" t="str">
        <f t="shared" si="9"/>
        <v xml:space="preserve"> </v>
      </c>
      <c r="I69" t="str">
        <f t="shared" si="9"/>
        <v xml:space="preserve"> </v>
      </c>
      <c r="J69" s="2" t="str">
        <f t="shared" si="9"/>
        <v xml:space="preserve"> </v>
      </c>
      <c r="K69" s="2" t="str">
        <f t="shared" si="9"/>
        <v xml:space="preserve"> </v>
      </c>
      <c r="M69" s="73" t="str">
        <f t="shared" ref="M69:M99" si="10">H69</f>
        <v xml:space="preserve"> </v>
      </c>
      <c r="N69" s="73" t="str">
        <f t="shared" ref="N69:N99" si="11">I69</f>
        <v xml:space="preserve"> </v>
      </c>
      <c r="O69" s="74" t="str">
        <f t="shared" si="8"/>
        <v xml:space="preserve"> </v>
      </c>
    </row>
    <row r="70" spans="1:15">
      <c r="A70" s="4"/>
      <c r="B70" s="55">
        <f>'[1]366 Community Disposable Income'!B70</f>
        <v>0</v>
      </c>
      <c r="C70" s="55">
        <f>'[1]366 Community Disposable Income'!C70</f>
        <v>0</v>
      </c>
      <c r="D70" s="55">
        <f>'[1]366 Community Disposable Income'!D70</f>
        <v>0</v>
      </c>
      <c r="E70" s="55">
        <f>'[1]366 Community Disposable Income'!E70</f>
        <v>0</v>
      </c>
      <c r="H70" t="str">
        <f t="shared" si="9"/>
        <v xml:space="preserve"> </v>
      </c>
      <c r="I70" t="str">
        <f t="shared" si="9"/>
        <v xml:space="preserve"> </v>
      </c>
      <c r="J70" s="2" t="str">
        <f t="shared" si="9"/>
        <v xml:space="preserve"> </v>
      </c>
      <c r="K70" s="2" t="str">
        <f t="shared" si="9"/>
        <v xml:space="preserve"> </v>
      </c>
      <c r="M70" s="73" t="str">
        <f t="shared" si="10"/>
        <v xml:space="preserve"> </v>
      </c>
      <c r="N70" s="73" t="str">
        <f t="shared" si="11"/>
        <v xml:space="preserve"> </v>
      </c>
      <c r="O70" s="74" t="str">
        <f t="shared" si="8"/>
        <v xml:space="preserve"> </v>
      </c>
    </row>
    <row r="71" spans="1:15">
      <c r="A71" s="4"/>
      <c r="B71" s="55">
        <f>'[1]366 Community Disposable Income'!B71</f>
        <v>0</v>
      </c>
      <c r="C71" s="55">
        <f>'[1]366 Community Disposable Income'!C71</f>
        <v>0</v>
      </c>
      <c r="D71" s="55">
        <f>'[1]366 Community Disposable Income'!D71</f>
        <v>0</v>
      </c>
      <c r="E71" s="55">
        <f>'[1]366 Community Disposable Income'!E71</f>
        <v>0</v>
      </c>
      <c r="H71" t="str">
        <f t="shared" si="9"/>
        <v xml:space="preserve"> </v>
      </c>
      <c r="I71" t="str">
        <f t="shared" si="9"/>
        <v xml:space="preserve"> </v>
      </c>
      <c r="J71" s="2" t="str">
        <f t="shared" si="9"/>
        <v xml:space="preserve"> </v>
      </c>
      <c r="K71" s="2" t="str">
        <f t="shared" si="9"/>
        <v xml:space="preserve"> </v>
      </c>
      <c r="M71" s="73" t="str">
        <f t="shared" si="10"/>
        <v xml:space="preserve"> </v>
      </c>
      <c r="N71" s="73" t="str">
        <f t="shared" si="11"/>
        <v xml:space="preserve"> </v>
      </c>
      <c r="O71" s="74" t="str">
        <f t="shared" si="8"/>
        <v xml:space="preserve"> </v>
      </c>
    </row>
    <row r="72" spans="1:15">
      <c r="A72" s="4"/>
      <c r="B72" s="55">
        <f>'[1]366 Community Disposable Income'!B72</f>
        <v>0</v>
      </c>
      <c r="C72" s="55">
        <f>'[1]366 Community Disposable Income'!C72</f>
        <v>0</v>
      </c>
      <c r="D72" s="55">
        <f>'[1]366 Community Disposable Income'!D72</f>
        <v>0</v>
      </c>
      <c r="E72" s="55">
        <f>'[1]366 Community Disposable Income'!E72</f>
        <v>0</v>
      </c>
      <c r="H72" t="str">
        <f t="shared" si="9"/>
        <v xml:space="preserve"> </v>
      </c>
      <c r="I72" t="str">
        <f t="shared" si="9"/>
        <v xml:space="preserve"> </v>
      </c>
      <c r="J72" s="2" t="str">
        <f t="shared" si="9"/>
        <v xml:space="preserve"> </v>
      </c>
      <c r="K72" s="2" t="str">
        <f t="shared" si="9"/>
        <v xml:space="preserve"> </v>
      </c>
      <c r="M72" s="73" t="str">
        <f t="shared" si="10"/>
        <v xml:space="preserve"> </v>
      </c>
      <c r="N72" s="73" t="str">
        <f t="shared" si="11"/>
        <v xml:space="preserve"> </v>
      </c>
      <c r="O72" s="74" t="str">
        <f t="shared" si="8"/>
        <v xml:space="preserve"> </v>
      </c>
    </row>
    <row r="73" spans="1:15">
      <c r="A73" s="4"/>
      <c r="B73" s="55">
        <f>'[1]366 Community Disposable Income'!B73</f>
        <v>0</v>
      </c>
      <c r="C73" s="55">
        <f>'[1]366 Community Disposable Income'!C73</f>
        <v>0</v>
      </c>
      <c r="D73" s="55">
        <f>'[1]366 Community Disposable Income'!D73</f>
        <v>0</v>
      </c>
      <c r="E73" s="55">
        <f>'[1]366 Community Disposable Income'!E73</f>
        <v>0</v>
      </c>
      <c r="H73" t="str">
        <f t="shared" si="9"/>
        <v xml:space="preserve"> </v>
      </c>
      <c r="I73" t="str">
        <f t="shared" si="9"/>
        <v xml:space="preserve"> </v>
      </c>
      <c r="J73" s="2" t="str">
        <f t="shared" si="9"/>
        <v xml:space="preserve"> </v>
      </c>
      <c r="K73" s="2" t="str">
        <f t="shared" si="9"/>
        <v xml:space="preserve"> </v>
      </c>
      <c r="M73" s="73" t="str">
        <f t="shared" si="10"/>
        <v xml:space="preserve"> </v>
      </c>
      <c r="N73" s="73" t="str">
        <f t="shared" si="11"/>
        <v xml:space="preserve"> </v>
      </c>
      <c r="O73" s="74" t="str">
        <f t="shared" si="8"/>
        <v xml:space="preserve"> </v>
      </c>
    </row>
    <row r="74" spans="1:15">
      <c r="A74" s="4"/>
      <c r="B74" s="55">
        <f>'[1]366 Community Disposable Income'!B74</f>
        <v>0</v>
      </c>
      <c r="C74" s="55">
        <f>'[1]366 Community Disposable Income'!C74</f>
        <v>0</v>
      </c>
      <c r="D74" s="55">
        <f>'[1]366 Community Disposable Income'!D74</f>
        <v>0</v>
      </c>
      <c r="E74" s="55">
        <f>'[1]366 Community Disposable Income'!E74</f>
        <v>0</v>
      </c>
      <c r="H74" t="str">
        <f t="shared" si="9"/>
        <v xml:space="preserve"> </v>
      </c>
      <c r="I74" t="str">
        <f t="shared" si="9"/>
        <v xml:space="preserve"> </v>
      </c>
      <c r="J74" s="2" t="str">
        <f t="shared" si="9"/>
        <v xml:space="preserve"> </v>
      </c>
      <c r="K74" s="2" t="str">
        <f t="shared" si="9"/>
        <v xml:space="preserve"> </v>
      </c>
      <c r="M74" s="73" t="str">
        <f t="shared" si="10"/>
        <v xml:space="preserve"> </v>
      </c>
      <c r="N74" s="73" t="str">
        <f t="shared" si="11"/>
        <v xml:space="preserve"> </v>
      </c>
      <c r="O74" s="74" t="str">
        <f t="shared" si="8"/>
        <v xml:space="preserve"> </v>
      </c>
    </row>
    <row r="75" spans="1:15">
      <c r="A75" s="4"/>
      <c r="B75" s="55">
        <f>'[1]366 Community Disposable Income'!B75</f>
        <v>0</v>
      </c>
      <c r="C75" s="55">
        <f>'[1]366 Community Disposable Income'!C75</f>
        <v>0</v>
      </c>
      <c r="D75" s="55">
        <f>'[1]366 Community Disposable Income'!D75</f>
        <v>0</v>
      </c>
      <c r="E75" s="55">
        <f>'[1]366 Community Disposable Income'!E75</f>
        <v>0</v>
      </c>
      <c r="H75" t="str">
        <f t="shared" si="9"/>
        <v xml:space="preserve"> </v>
      </c>
      <c r="I75" t="str">
        <f t="shared" si="9"/>
        <v xml:space="preserve"> </v>
      </c>
      <c r="J75" s="2" t="str">
        <f t="shared" si="9"/>
        <v xml:space="preserve"> </v>
      </c>
      <c r="K75" s="2" t="str">
        <f t="shared" si="9"/>
        <v xml:space="preserve"> </v>
      </c>
      <c r="M75" s="73" t="str">
        <f t="shared" si="10"/>
        <v xml:space="preserve"> </v>
      </c>
      <c r="N75" s="73" t="str">
        <f t="shared" si="11"/>
        <v xml:space="preserve"> </v>
      </c>
      <c r="O75" s="74" t="str">
        <f t="shared" si="8"/>
        <v xml:space="preserve"> </v>
      </c>
    </row>
    <row r="76" spans="1:15">
      <c r="A76" s="4"/>
      <c r="B76" s="55">
        <f>'[1]366 Community Disposable Income'!B76</f>
        <v>0</v>
      </c>
      <c r="C76" s="55">
        <f>'[1]366 Community Disposable Income'!C76</f>
        <v>0</v>
      </c>
      <c r="D76" s="55">
        <f>'[1]366 Community Disposable Income'!D76</f>
        <v>0</v>
      </c>
      <c r="E76" s="55">
        <f>'[1]366 Community Disposable Income'!E76</f>
        <v>0</v>
      </c>
      <c r="H76" t="str">
        <f t="shared" si="9"/>
        <v xml:space="preserve"> </v>
      </c>
      <c r="I76" t="str">
        <f t="shared" si="9"/>
        <v xml:space="preserve"> </v>
      </c>
      <c r="J76" s="2" t="str">
        <f t="shared" si="9"/>
        <v xml:space="preserve"> </v>
      </c>
      <c r="K76" s="2" t="str">
        <f t="shared" si="9"/>
        <v xml:space="preserve"> </v>
      </c>
      <c r="M76" s="73" t="str">
        <f t="shared" si="10"/>
        <v xml:space="preserve"> </v>
      </c>
      <c r="N76" s="73" t="str">
        <f t="shared" si="11"/>
        <v xml:space="preserve"> </v>
      </c>
      <c r="O76" s="74" t="str">
        <f t="shared" si="8"/>
        <v xml:space="preserve"> </v>
      </c>
    </row>
    <row r="77" spans="1:15">
      <c r="A77" s="4"/>
      <c r="B77" s="55">
        <f>'[1]366 Community Disposable Income'!B77</f>
        <v>0</v>
      </c>
      <c r="C77" s="55">
        <f>'[1]366 Community Disposable Income'!C77</f>
        <v>0</v>
      </c>
      <c r="D77" s="55">
        <f>'[1]366 Community Disposable Income'!D77</f>
        <v>0</v>
      </c>
      <c r="E77" s="55">
        <f>'[1]366 Community Disposable Income'!E77</f>
        <v>0</v>
      </c>
      <c r="H77" t="str">
        <f t="shared" si="9"/>
        <v xml:space="preserve"> </v>
      </c>
      <c r="I77" t="str">
        <f t="shared" si="9"/>
        <v xml:space="preserve"> </v>
      </c>
      <c r="J77" s="2" t="str">
        <f t="shared" si="9"/>
        <v xml:space="preserve"> </v>
      </c>
      <c r="K77" s="2" t="str">
        <f t="shared" si="9"/>
        <v xml:space="preserve"> </v>
      </c>
      <c r="M77" s="73" t="str">
        <f t="shared" si="10"/>
        <v xml:space="preserve"> </v>
      </c>
      <c r="N77" s="73" t="str">
        <f t="shared" si="11"/>
        <v xml:space="preserve"> </v>
      </c>
      <c r="O77" s="74" t="str">
        <f t="shared" si="8"/>
        <v xml:space="preserve"> </v>
      </c>
    </row>
    <row r="78" spans="1:15">
      <c r="A78" s="4"/>
      <c r="B78" s="55">
        <f>'[1]366 Community Disposable Income'!B78</f>
        <v>0</v>
      </c>
      <c r="C78" s="55">
        <f>'[1]366 Community Disposable Income'!C78</f>
        <v>0</v>
      </c>
      <c r="D78" s="55">
        <f>'[1]366 Community Disposable Income'!D78</f>
        <v>0</v>
      </c>
      <c r="E78" s="55">
        <f>'[1]366 Community Disposable Income'!E78</f>
        <v>0</v>
      </c>
      <c r="H78" t="str">
        <f t="shared" si="9"/>
        <v xml:space="preserve"> </v>
      </c>
      <c r="I78" t="str">
        <f t="shared" si="9"/>
        <v xml:space="preserve"> </v>
      </c>
      <c r="J78" s="2" t="str">
        <f t="shared" si="9"/>
        <v xml:space="preserve"> </v>
      </c>
      <c r="K78" s="2" t="str">
        <f t="shared" si="9"/>
        <v xml:space="preserve"> </v>
      </c>
      <c r="M78" s="73" t="str">
        <f t="shared" si="10"/>
        <v xml:space="preserve"> </v>
      </c>
      <c r="N78" s="73" t="str">
        <f t="shared" si="11"/>
        <v xml:space="preserve"> </v>
      </c>
      <c r="O78" s="74" t="str">
        <f t="shared" si="8"/>
        <v xml:space="preserve"> </v>
      </c>
    </row>
    <row r="79" spans="1:15">
      <c r="A79" s="4"/>
      <c r="B79" s="55">
        <f>'[1]366 Community Disposable Income'!B79</f>
        <v>0</v>
      </c>
      <c r="C79" s="55">
        <f>'[1]366 Community Disposable Income'!C79</f>
        <v>0</v>
      </c>
      <c r="D79" s="55">
        <f>'[1]366 Community Disposable Income'!D79</f>
        <v>0</v>
      </c>
      <c r="E79" s="55">
        <f>'[1]366 Community Disposable Income'!E79</f>
        <v>0</v>
      </c>
      <c r="H79" t="str">
        <f t="shared" si="9"/>
        <v xml:space="preserve"> </v>
      </c>
      <c r="I79" t="str">
        <f t="shared" si="9"/>
        <v xml:space="preserve"> </v>
      </c>
      <c r="J79" s="2" t="str">
        <f t="shared" si="9"/>
        <v xml:space="preserve"> </v>
      </c>
      <c r="K79" s="2" t="str">
        <f t="shared" si="9"/>
        <v xml:space="preserve"> </v>
      </c>
      <c r="M79" s="73" t="str">
        <f t="shared" si="10"/>
        <v xml:space="preserve"> </v>
      </c>
      <c r="N79" s="73" t="str">
        <f t="shared" si="11"/>
        <v xml:space="preserve"> </v>
      </c>
      <c r="O79" s="74" t="str">
        <f t="shared" si="8"/>
        <v xml:space="preserve"> </v>
      </c>
    </row>
    <row r="80" spans="1:15">
      <c r="A80" s="4"/>
      <c r="B80" s="55">
        <f>'[1]366 Community Disposable Income'!B80</f>
        <v>0</v>
      </c>
      <c r="C80" s="55">
        <f>'[1]366 Community Disposable Income'!C80</f>
        <v>0</v>
      </c>
      <c r="D80" s="55">
        <f>'[1]366 Community Disposable Income'!D80</f>
        <v>0</v>
      </c>
      <c r="E80" s="55">
        <f>'[1]366 Community Disposable Income'!E80</f>
        <v>0</v>
      </c>
      <c r="H80" t="str">
        <f t="shared" si="9"/>
        <v xml:space="preserve"> </v>
      </c>
      <c r="I80" t="str">
        <f t="shared" si="9"/>
        <v xml:space="preserve"> </v>
      </c>
      <c r="J80" s="2" t="str">
        <f t="shared" si="9"/>
        <v xml:space="preserve"> </v>
      </c>
      <c r="K80" s="2" t="str">
        <f t="shared" si="9"/>
        <v xml:space="preserve"> </v>
      </c>
      <c r="M80" s="73" t="str">
        <f t="shared" si="10"/>
        <v xml:space="preserve"> </v>
      </c>
      <c r="N80" s="73" t="str">
        <f t="shared" si="11"/>
        <v xml:space="preserve"> </v>
      </c>
      <c r="O80" s="74" t="str">
        <f t="shared" si="8"/>
        <v xml:space="preserve"> </v>
      </c>
    </row>
    <row r="81" spans="1:15">
      <c r="A81" s="4"/>
      <c r="B81" s="55">
        <f>'[1]366 Community Disposable Income'!B81</f>
        <v>0</v>
      </c>
      <c r="C81" s="55">
        <f>'[1]366 Community Disposable Income'!C81</f>
        <v>0</v>
      </c>
      <c r="D81" s="55">
        <f>'[1]366 Community Disposable Income'!D81</f>
        <v>0</v>
      </c>
      <c r="E81" s="55">
        <f>'[1]366 Community Disposable Income'!E81</f>
        <v>0</v>
      </c>
      <c r="H81" t="str">
        <f t="shared" si="9"/>
        <v xml:space="preserve"> </v>
      </c>
      <c r="I81" t="str">
        <f t="shared" si="9"/>
        <v xml:space="preserve"> </v>
      </c>
      <c r="J81" s="2" t="str">
        <f t="shared" si="9"/>
        <v xml:space="preserve"> </v>
      </c>
      <c r="K81" s="2" t="str">
        <f t="shared" si="9"/>
        <v xml:space="preserve"> </v>
      </c>
      <c r="M81" s="73" t="str">
        <f t="shared" si="10"/>
        <v xml:space="preserve"> </v>
      </c>
      <c r="N81" s="73" t="str">
        <f t="shared" si="11"/>
        <v xml:space="preserve"> </v>
      </c>
      <c r="O81" s="74" t="str">
        <f t="shared" si="8"/>
        <v xml:space="preserve"> </v>
      </c>
    </row>
    <row r="82" spans="1:15">
      <c r="A82" s="4"/>
      <c r="B82" s="55">
        <f>'[1]366 Community Disposable Income'!B82</f>
        <v>0</v>
      </c>
      <c r="C82" s="55">
        <f>'[1]366 Community Disposable Income'!C82</f>
        <v>0</v>
      </c>
      <c r="D82" s="55">
        <f>'[1]366 Community Disposable Income'!D82</f>
        <v>0</v>
      </c>
      <c r="E82" s="55">
        <f>'[1]366 Community Disposable Income'!E82</f>
        <v>0</v>
      </c>
      <c r="H82" t="str">
        <f t="shared" si="9"/>
        <v xml:space="preserve"> </v>
      </c>
      <c r="I82" t="str">
        <f t="shared" si="9"/>
        <v xml:space="preserve"> </v>
      </c>
      <c r="J82" s="2" t="str">
        <f t="shared" si="9"/>
        <v xml:space="preserve"> </v>
      </c>
      <c r="K82" s="2" t="str">
        <f t="shared" si="9"/>
        <v xml:space="preserve"> </v>
      </c>
      <c r="M82" s="73" t="str">
        <f t="shared" si="10"/>
        <v xml:space="preserve"> </v>
      </c>
      <c r="N82" s="73" t="str">
        <f t="shared" si="11"/>
        <v xml:space="preserve"> </v>
      </c>
      <c r="O82" s="74" t="str">
        <f t="shared" si="8"/>
        <v xml:space="preserve"> </v>
      </c>
    </row>
    <row r="83" spans="1:15">
      <c r="A83" s="4"/>
      <c r="B83" s="55">
        <f>'[1]366 Community Disposable Income'!B83</f>
        <v>0</v>
      </c>
      <c r="C83" s="55">
        <f>'[1]366 Community Disposable Income'!C83</f>
        <v>0</v>
      </c>
      <c r="D83" s="55">
        <f>'[1]366 Community Disposable Income'!D83</f>
        <v>0</v>
      </c>
      <c r="E83" s="55">
        <f>'[1]366 Community Disposable Income'!E83</f>
        <v>0</v>
      </c>
      <c r="H83" t="str">
        <f t="shared" si="9"/>
        <v xml:space="preserve"> </v>
      </c>
      <c r="I83" t="str">
        <f t="shared" si="9"/>
        <v xml:space="preserve"> </v>
      </c>
      <c r="J83" s="2" t="str">
        <f t="shared" si="9"/>
        <v xml:space="preserve"> </v>
      </c>
      <c r="K83" s="2" t="str">
        <f t="shared" si="9"/>
        <v xml:space="preserve"> </v>
      </c>
      <c r="M83" s="73" t="str">
        <f t="shared" si="10"/>
        <v xml:space="preserve"> </v>
      </c>
      <c r="N83" s="73" t="str">
        <f t="shared" si="11"/>
        <v xml:space="preserve"> </v>
      </c>
      <c r="O83" s="74" t="str">
        <f t="shared" si="8"/>
        <v xml:space="preserve"> </v>
      </c>
    </row>
    <row r="84" spans="1:15">
      <c r="A84" s="4"/>
      <c r="B84" s="55">
        <f>'[1]366 Community Disposable Income'!B84</f>
        <v>0</v>
      </c>
      <c r="C84" s="55">
        <f>'[1]366 Community Disposable Income'!C84</f>
        <v>0</v>
      </c>
      <c r="D84" s="55">
        <f>'[1]366 Community Disposable Income'!D84</f>
        <v>0</v>
      </c>
      <c r="E84" s="55">
        <f>'[1]366 Community Disposable Income'!E84</f>
        <v>0</v>
      </c>
      <c r="H84" t="str">
        <f t="shared" si="9"/>
        <v xml:space="preserve"> </v>
      </c>
      <c r="I84" t="str">
        <f t="shared" si="9"/>
        <v xml:space="preserve"> </v>
      </c>
      <c r="J84" s="2" t="str">
        <f t="shared" si="9"/>
        <v xml:space="preserve"> </v>
      </c>
      <c r="K84" s="2" t="str">
        <f t="shared" si="9"/>
        <v xml:space="preserve"> </v>
      </c>
      <c r="M84" s="73" t="str">
        <f t="shared" si="10"/>
        <v xml:space="preserve"> </v>
      </c>
      <c r="N84" s="73" t="str">
        <f t="shared" si="11"/>
        <v xml:space="preserve"> </v>
      </c>
      <c r="O84" s="74" t="str">
        <f t="shared" si="8"/>
        <v xml:space="preserve"> </v>
      </c>
    </row>
    <row r="85" spans="1:15">
      <c r="A85" s="4"/>
      <c r="B85" s="55">
        <f>'[1]366 Community Disposable Income'!B85</f>
        <v>0</v>
      </c>
      <c r="C85" s="55">
        <f>'[1]366 Community Disposable Income'!C85</f>
        <v>0</v>
      </c>
      <c r="D85" s="55">
        <f>'[1]366 Community Disposable Income'!D85</f>
        <v>0</v>
      </c>
      <c r="E85" s="55">
        <f>'[1]366 Community Disposable Income'!E85</f>
        <v>0</v>
      </c>
      <c r="H85" t="str">
        <f t="shared" si="9"/>
        <v xml:space="preserve"> </v>
      </c>
      <c r="I85" t="str">
        <f t="shared" si="9"/>
        <v xml:space="preserve"> </v>
      </c>
      <c r="J85" s="2" t="str">
        <f t="shared" si="9"/>
        <v xml:space="preserve"> </v>
      </c>
      <c r="K85" s="2" t="str">
        <f t="shared" si="9"/>
        <v xml:space="preserve"> </v>
      </c>
      <c r="M85" s="73" t="str">
        <f t="shared" si="10"/>
        <v xml:space="preserve"> </v>
      </c>
      <c r="N85" s="73" t="str">
        <f t="shared" si="11"/>
        <v xml:space="preserve"> </v>
      </c>
      <c r="O85" s="74" t="str">
        <f t="shared" si="8"/>
        <v xml:space="preserve"> </v>
      </c>
    </row>
    <row r="86" spans="1:15">
      <c r="A86" s="4"/>
      <c r="B86" s="55">
        <f>'[1]366 Community Disposable Income'!B86</f>
        <v>0</v>
      </c>
      <c r="C86" s="55">
        <f>'[1]366 Community Disposable Income'!C86</f>
        <v>0</v>
      </c>
      <c r="D86" s="55">
        <f>'[1]366 Community Disposable Income'!D86</f>
        <v>0</v>
      </c>
      <c r="E86" s="55">
        <f>'[1]366 Community Disposable Income'!E86</f>
        <v>0</v>
      </c>
      <c r="H86" t="str">
        <f t="shared" si="9"/>
        <v xml:space="preserve"> </v>
      </c>
      <c r="I86" t="str">
        <f t="shared" si="9"/>
        <v xml:space="preserve"> </v>
      </c>
      <c r="J86" s="2" t="str">
        <f t="shared" si="9"/>
        <v xml:space="preserve"> </v>
      </c>
      <c r="K86" s="2" t="str">
        <f t="shared" si="9"/>
        <v xml:space="preserve"> </v>
      </c>
      <c r="M86" s="73" t="str">
        <f t="shared" si="10"/>
        <v xml:space="preserve"> </v>
      </c>
      <c r="N86" s="73" t="str">
        <f t="shared" si="11"/>
        <v xml:space="preserve"> </v>
      </c>
      <c r="O86" s="74" t="str">
        <f t="shared" si="8"/>
        <v xml:space="preserve"> </v>
      </c>
    </row>
    <row r="87" spans="1:15">
      <c r="A87" s="4"/>
      <c r="B87" s="55">
        <f>'[1]366 Community Disposable Income'!B87</f>
        <v>0</v>
      </c>
      <c r="C87" s="55">
        <f>'[1]366 Community Disposable Income'!C87</f>
        <v>0</v>
      </c>
      <c r="D87" s="55">
        <f>'[1]366 Community Disposable Income'!D87</f>
        <v>0</v>
      </c>
      <c r="E87" s="55">
        <f>'[1]366 Community Disposable Income'!E87</f>
        <v>0</v>
      </c>
      <c r="H87" t="str">
        <f t="shared" si="9"/>
        <v xml:space="preserve"> </v>
      </c>
      <c r="I87" t="str">
        <f t="shared" si="9"/>
        <v xml:space="preserve"> </v>
      </c>
      <c r="J87" s="2" t="str">
        <f t="shared" si="9"/>
        <v xml:space="preserve"> </v>
      </c>
      <c r="K87" s="2" t="str">
        <f t="shared" si="9"/>
        <v xml:space="preserve"> </v>
      </c>
      <c r="M87" s="73" t="str">
        <f t="shared" si="10"/>
        <v xml:space="preserve"> </v>
      </c>
      <c r="N87" s="73" t="str">
        <f t="shared" si="11"/>
        <v xml:space="preserve"> </v>
      </c>
      <c r="O87" s="74" t="str">
        <f t="shared" si="8"/>
        <v xml:space="preserve"> </v>
      </c>
    </row>
    <row r="88" spans="1:15">
      <c r="A88" s="4"/>
      <c r="B88" s="55">
        <f>'[1]366 Community Disposable Income'!B88</f>
        <v>0</v>
      </c>
      <c r="C88" s="55">
        <f>'[1]366 Community Disposable Income'!C88</f>
        <v>0</v>
      </c>
      <c r="D88" s="55">
        <f>'[1]366 Community Disposable Income'!D88</f>
        <v>0</v>
      </c>
      <c r="E88" s="55">
        <f>'[1]366 Community Disposable Income'!E88</f>
        <v>0</v>
      </c>
      <c r="H88" t="str">
        <f t="shared" si="9"/>
        <v xml:space="preserve"> </v>
      </c>
      <c r="I88" t="str">
        <f t="shared" si="9"/>
        <v xml:space="preserve"> </v>
      </c>
      <c r="J88" s="2" t="str">
        <f t="shared" si="9"/>
        <v xml:space="preserve"> </v>
      </c>
      <c r="K88" s="2" t="str">
        <f t="shared" si="9"/>
        <v xml:space="preserve"> </v>
      </c>
      <c r="M88" s="73" t="str">
        <f t="shared" si="10"/>
        <v xml:space="preserve"> </v>
      </c>
      <c r="N88" s="73" t="str">
        <f t="shared" si="11"/>
        <v xml:space="preserve"> </v>
      </c>
      <c r="O88" s="74" t="str">
        <f t="shared" ref="O88:O99" si="12">IF(K88&lt;&gt;" ",K88/J88," ")</f>
        <v xml:space="preserve"> </v>
      </c>
    </row>
    <row r="89" spans="1:15">
      <c r="A89" s="4"/>
      <c r="B89" s="55">
        <f>'[1]366 Community Disposable Income'!B89</f>
        <v>0</v>
      </c>
      <c r="C89" s="55">
        <f>'[1]366 Community Disposable Income'!C89</f>
        <v>0</v>
      </c>
      <c r="D89" s="55">
        <f>'[1]366 Community Disposable Income'!D89</f>
        <v>0</v>
      </c>
      <c r="E89" s="55">
        <f>'[1]366 Community Disposable Income'!E89</f>
        <v>0</v>
      </c>
      <c r="H89" t="str">
        <f t="shared" si="9"/>
        <v xml:space="preserve"> </v>
      </c>
      <c r="I89" t="str">
        <f t="shared" si="9"/>
        <v xml:space="preserve"> </v>
      </c>
      <c r="J89" s="2" t="str">
        <f t="shared" si="9"/>
        <v xml:space="preserve"> </v>
      </c>
      <c r="K89" s="2" t="str">
        <f t="shared" si="9"/>
        <v xml:space="preserve"> </v>
      </c>
      <c r="M89" s="73" t="str">
        <f t="shared" si="10"/>
        <v xml:space="preserve"> </v>
      </c>
      <c r="N89" s="73" t="str">
        <f t="shared" si="11"/>
        <v xml:space="preserve"> </v>
      </c>
      <c r="O89" s="74" t="str">
        <f t="shared" si="12"/>
        <v xml:space="preserve"> </v>
      </c>
    </row>
    <row r="90" spans="1:15">
      <c r="A90" s="4"/>
      <c r="B90" s="55">
        <f>'[1]366 Community Disposable Income'!B90</f>
        <v>0</v>
      </c>
      <c r="C90" s="55">
        <f>'[1]366 Community Disposable Income'!C90</f>
        <v>0</v>
      </c>
      <c r="D90" s="55">
        <f>'[1]366 Community Disposable Income'!D90</f>
        <v>0</v>
      </c>
      <c r="E90" s="55">
        <f>'[1]366 Community Disposable Income'!E90</f>
        <v>0</v>
      </c>
      <c r="H90" t="str">
        <f t="shared" si="9"/>
        <v xml:space="preserve"> </v>
      </c>
      <c r="I90" t="str">
        <f t="shared" si="9"/>
        <v xml:space="preserve"> </v>
      </c>
      <c r="J90" s="2" t="str">
        <f t="shared" si="9"/>
        <v xml:space="preserve"> </v>
      </c>
      <c r="K90" s="2" t="str">
        <f t="shared" si="9"/>
        <v xml:space="preserve"> </v>
      </c>
      <c r="M90" s="73" t="str">
        <f t="shared" si="10"/>
        <v xml:space="preserve"> </v>
      </c>
      <c r="N90" s="73" t="str">
        <f t="shared" si="11"/>
        <v xml:space="preserve"> </v>
      </c>
      <c r="O90" s="74" t="str">
        <f t="shared" si="12"/>
        <v xml:space="preserve"> </v>
      </c>
    </row>
    <row r="91" spans="1:15">
      <c r="A91" s="4"/>
      <c r="B91" s="55">
        <f>'[1]366 Community Disposable Income'!B91</f>
        <v>0</v>
      </c>
      <c r="C91" s="55">
        <f>'[1]366 Community Disposable Income'!C91</f>
        <v>0</v>
      </c>
      <c r="D91" s="55">
        <f>'[1]366 Community Disposable Income'!D91</f>
        <v>0</v>
      </c>
      <c r="E91" s="55">
        <f>'[1]366 Community Disposable Income'!E91</f>
        <v>0</v>
      </c>
      <c r="H91" t="str">
        <f t="shared" si="9"/>
        <v xml:space="preserve"> </v>
      </c>
      <c r="I91" t="str">
        <f t="shared" si="9"/>
        <v xml:space="preserve"> </v>
      </c>
      <c r="J91" s="2" t="str">
        <f t="shared" si="9"/>
        <v xml:space="preserve"> </v>
      </c>
      <c r="K91" s="2" t="str">
        <f t="shared" si="9"/>
        <v xml:space="preserve"> </v>
      </c>
      <c r="M91" s="73" t="str">
        <f t="shared" si="10"/>
        <v xml:space="preserve"> </v>
      </c>
      <c r="N91" s="73" t="str">
        <f t="shared" si="11"/>
        <v xml:space="preserve"> </v>
      </c>
      <c r="O91" s="74" t="str">
        <f t="shared" si="12"/>
        <v xml:space="preserve"> </v>
      </c>
    </row>
    <row r="92" spans="1:15">
      <c r="A92" s="4"/>
      <c r="B92" s="55">
        <f>'[1]366 Community Disposable Income'!B92</f>
        <v>0</v>
      </c>
      <c r="C92" s="55">
        <f>'[1]366 Community Disposable Income'!C92</f>
        <v>0</v>
      </c>
      <c r="D92" s="55">
        <f>'[1]366 Community Disposable Income'!D92</f>
        <v>0</v>
      </c>
      <c r="E92" s="55">
        <f>'[1]366 Community Disposable Income'!E92</f>
        <v>0</v>
      </c>
      <c r="H92" t="str">
        <f t="shared" si="9"/>
        <v xml:space="preserve"> </v>
      </c>
      <c r="I92" t="str">
        <f t="shared" si="9"/>
        <v xml:space="preserve"> </v>
      </c>
      <c r="J92" s="2" t="str">
        <f t="shared" si="9"/>
        <v xml:space="preserve"> </v>
      </c>
      <c r="K92" s="2" t="str">
        <f t="shared" si="9"/>
        <v xml:space="preserve"> </v>
      </c>
      <c r="M92" s="73" t="str">
        <f t="shared" si="10"/>
        <v xml:space="preserve"> </v>
      </c>
      <c r="N92" s="73" t="str">
        <f t="shared" si="11"/>
        <v xml:space="preserve"> </v>
      </c>
      <c r="O92" s="74" t="str">
        <f t="shared" si="12"/>
        <v xml:space="preserve"> </v>
      </c>
    </row>
    <row r="93" spans="1:15">
      <c r="A93" s="4"/>
      <c r="B93" s="55">
        <f>'[1]366 Community Disposable Income'!B93</f>
        <v>0</v>
      </c>
      <c r="C93" s="55">
        <f>'[1]366 Community Disposable Income'!C93</f>
        <v>0</v>
      </c>
      <c r="D93" s="55">
        <f>'[1]366 Community Disposable Income'!D93</f>
        <v>0</v>
      </c>
      <c r="E93" s="55">
        <f>'[1]366 Community Disposable Income'!E93</f>
        <v>0</v>
      </c>
      <c r="H93" t="str">
        <f t="shared" si="9"/>
        <v xml:space="preserve"> </v>
      </c>
      <c r="I93" t="str">
        <f t="shared" si="9"/>
        <v xml:space="preserve"> </v>
      </c>
      <c r="J93" s="2" t="str">
        <f t="shared" si="9"/>
        <v xml:space="preserve"> </v>
      </c>
      <c r="K93" s="2" t="str">
        <f t="shared" si="9"/>
        <v xml:space="preserve"> </v>
      </c>
      <c r="M93" s="73" t="str">
        <f t="shared" si="10"/>
        <v xml:space="preserve"> </v>
      </c>
      <c r="N93" s="73" t="str">
        <f t="shared" si="11"/>
        <v xml:space="preserve"> </v>
      </c>
      <c r="O93" s="74" t="str">
        <f t="shared" si="12"/>
        <v xml:space="preserve"> </v>
      </c>
    </row>
    <row r="94" spans="1:15">
      <c r="A94" s="4"/>
      <c r="B94" s="55">
        <f>'[1]366 Community Disposable Income'!B94</f>
        <v>0</v>
      </c>
      <c r="C94" s="55">
        <f>'[1]366 Community Disposable Income'!C94</f>
        <v>0</v>
      </c>
      <c r="D94" s="55">
        <f>'[1]366 Community Disposable Income'!D94</f>
        <v>0</v>
      </c>
      <c r="E94" s="55">
        <f>'[1]366 Community Disposable Income'!E94</f>
        <v>0</v>
      </c>
      <c r="H94" t="str">
        <f t="shared" si="9"/>
        <v xml:space="preserve"> </v>
      </c>
      <c r="I94" t="str">
        <f t="shared" si="9"/>
        <v xml:space="preserve"> </v>
      </c>
      <c r="J94" s="2" t="str">
        <f t="shared" si="9"/>
        <v xml:space="preserve"> </v>
      </c>
      <c r="K94" s="2" t="str">
        <f t="shared" si="9"/>
        <v xml:space="preserve"> </v>
      </c>
      <c r="M94" s="73" t="str">
        <f t="shared" si="10"/>
        <v xml:space="preserve"> </v>
      </c>
      <c r="N94" s="73" t="str">
        <f t="shared" si="11"/>
        <v xml:space="preserve"> </v>
      </c>
      <c r="O94" s="74" t="str">
        <f t="shared" si="12"/>
        <v xml:space="preserve"> </v>
      </c>
    </row>
    <row r="95" spans="1:15">
      <c r="A95" s="4"/>
      <c r="B95" s="55">
        <f>'[1]366 Community Disposable Income'!B95</f>
        <v>0</v>
      </c>
      <c r="C95" s="55">
        <f>'[1]366 Community Disposable Income'!C95</f>
        <v>0</v>
      </c>
      <c r="D95" s="55">
        <f>'[1]366 Community Disposable Income'!D95</f>
        <v>0</v>
      </c>
      <c r="E95" s="55">
        <f>'[1]366 Community Disposable Income'!E95</f>
        <v>0</v>
      </c>
      <c r="H95" t="str">
        <f t="shared" si="9"/>
        <v xml:space="preserve"> </v>
      </c>
      <c r="I95" t="str">
        <f t="shared" si="9"/>
        <v xml:space="preserve"> </v>
      </c>
      <c r="J95" s="2" t="str">
        <f t="shared" si="9"/>
        <v xml:space="preserve"> </v>
      </c>
      <c r="K95" s="2" t="str">
        <f t="shared" si="9"/>
        <v xml:space="preserve"> </v>
      </c>
      <c r="M95" s="73" t="str">
        <f t="shared" si="10"/>
        <v xml:space="preserve"> </v>
      </c>
      <c r="N95" s="73" t="str">
        <f t="shared" si="11"/>
        <v xml:space="preserve"> </v>
      </c>
      <c r="O95" s="74" t="str">
        <f t="shared" si="12"/>
        <v xml:space="preserve"> </v>
      </c>
    </row>
    <row r="96" spans="1:15">
      <c r="A96" s="4"/>
      <c r="B96" s="55">
        <f>'[1]366 Community Disposable Income'!B96</f>
        <v>0</v>
      </c>
      <c r="C96" s="55">
        <f>'[1]366 Community Disposable Income'!C96</f>
        <v>0</v>
      </c>
      <c r="D96" s="55">
        <f>'[1]366 Community Disposable Income'!D96</f>
        <v>0</v>
      </c>
      <c r="E96" s="55">
        <f>'[1]366 Community Disposable Income'!E96</f>
        <v>0</v>
      </c>
      <c r="H96" t="str">
        <f t="shared" si="9"/>
        <v xml:space="preserve"> </v>
      </c>
      <c r="I96" t="str">
        <f t="shared" si="9"/>
        <v xml:space="preserve"> </v>
      </c>
      <c r="J96" s="2" t="str">
        <f t="shared" si="9"/>
        <v xml:space="preserve"> </v>
      </c>
      <c r="K96" s="2" t="str">
        <f t="shared" si="9"/>
        <v xml:space="preserve"> </v>
      </c>
      <c r="M96" s="73" t="str">
        <f t="shared" si="10"/>
        <v xml:space="preserve"> </v>
      </c>
      <c r="N96" s="73" t="str">
        <f t="shared" si="11"/>
        <v xml:space="preserve"> </v>
      </c>
      <c r="O96" s="74" t="str">
        <f t="shared" si="12"/>
        <v xml:space="preserve"> </v>
      </c>
    </row>
    <row r="97" spans="1:15">
      <c r="A97" s="4"/>
      <c r="B97" s="55">
        <f>'[1]366 Community Disposable Income'!B97</f>
        <v>0</v>
      </c>
      <c r="C97" s="55">
        <f>'[1]366 Community Disposable Income'!C97</f>
        <v>0</v>
      </c>
      <c r="D97" s="55">
        <f>'[1]366 Community Disposable Income'!D97</f>
        <v>0</v>
      </c>
      <c r="E97" s="55">
        <f>'[1]366 Community Disposable Income'!E97</f>
        <v>0</v>
      </c>
      <c r="H97" t="str">
        <f t="shared" si="9"/>
        <v xml:space="preserve"> </v>
      </c>
      <c r="I97" t="str">
        <f t="shared" si="9"/>
        <v xml:space="preserve"> </v>
      </c>
      <c r="J97" s="2" t="str">
        <f t="shared" si="9"/>
        <v xml:space="preserve"> </v>
      </c>
      <c r="K97" s="2" t="str">
        <f t="shared" si="9"/>
        <v xml:space="preserve"> </v>
      </c>
      <c r="M97" s="73" t="str">
        <f t="shared" si="10"/>
        <v xml:space="preserve"> </v>
      </c>
      <c r="N97" s="73" t="str">
        <f t="shared" si="11"/>
        <v xml:space="preserve"> </v>
      </c>
      <c r="O97" s="74" t="str">
        <f t="shared" si="12"/>
        <v xml:space="preserve"> </v>
      </c>
    </row>
    <row r="98" spans="1:15">
      <c r="A98" s="4"/>
      <c r="B98" s="55">
        <f>'[1]366 Community Disposable Income'!B98</f>
        <v>0</v>
      </c>
      <c r="C98" s="55">
        <f>'[1]366 Community Disposable Income'!C98</f>
        <v>0</v>
      </c>
      <c r="D98" s="55">
        <f>'[1]366 Community Disposable Income'!D98</f>
        <v>0</v>
      </c>
      <c r="E98" s="55">
        <f>'[1]366 Community Disposable Income'!E98</f>
        <v>0</v>
      </c>
      <c r="H98" t="str">
        <f t="shared" si="9"/>
        <v xml:space="preserve"> </v>
      </c>
      <c r="I98" t="str">
        <f t="shared" si="9"/>
        <v xml:space="preserve"> </v>
      </c>
      <c r="J98" s="2" t="str">
        <f t="shared" si="9"/>
        <v xml:space="preserve"> </v>
      </c>
      <c r="K98" s="2" t="str">
        <f t="shared" si="9"/>
        <v xml:space="preserve"> </v>
      </c>
      <c r="M98" s="73" t="str">
        <f t="shared" si="10"/>
        <v xml:space="preserve"> </v>
      </c>
      <c r="N98" s="73" t="str">
        <f t="shared" si="11"/>
        <v xml:space="preserve"> </v>
      </c>
      <c r="O98" s="74" t="str">
        <f t="shared" si="12"/>
        <v xml:space="preserve"> </v>
      </c>
    </row>
    <row r="99" spans="1:15">
      <c r="A99" s="4"/>
      <c r="B99" s="55">
        <f>'[1]366 Community Disposable Income'!B99</f>
        <v>0</v>
      </c>
      <c r="C99" s="55">
        <f>'[1]366 Community Disposable Income'!C99</f>
        <v>0</v>
      </c>
      <c r="D99" s="55">
        <f>'[1]366 Community Disposable Income'!D99</f>
        <v>0</v>
      </c>
      <c r="E99" s="55">
        <f>'[1]366 Community Disposable Income'!E99</f>
        <v>0</v>
      </c>
      <c r="H99" t="str">
        <f t="shared" si="9"/>
        <v xml:space="preserve"> </v>
      </c>
      <c r="I99" t="str">
        <f t="shared" si="9"/>
        <v xml:space="preserve"> </v>
      </c>
      <c r="J99" s="2" t="str">
        <f t="shared" si="9"/>
        <v xml:space="preserve"> </v>
      </c>
      <c r="K99" s="2" t="str">
        <f t="shared" si="9"/>
        <v xml:space="preserve"> </v>
      </c>
      <c r="M99" s="73" t="str">
        <f t="shared" si="10"/>
        <v xml:space="preserve"> </v>
      </c>
      <c r="N99" s="73" t="str">
        <f t="shared" si="11"/>
        <v xml:space="preserve"> </v>
      </c>
      <c r="O99" s="74" t="str">
        <f t="shared" si="12"/>
        <v xml:space="preserve"> </v>
      </c>
    </row>
    <row r="100" spans="1:15">
      <c r="A100" s="4"/>
      <c r="B100" s="14"/>
      <c r="C100" s="14"/>
      <c r="D100" s="59"/>
      <c r="E100" s="59"/>
    </row>
    <row r="101" spans="1:15">
      <c r="A101" s="4"/>
      <c r="B101" s="14"/>
      <c r="C101" s="14"/>
      <c r="D101" s="59"/>
      <c r="E101" s="59"/>
    </row>
    <row r="102" spans="1:15">
      <c r="A102" s="4"/>
      <c r="B102" s="14"/>
      <c r="C102" s="14"/>
      <c r="D102" s="59"/>
      <c r="E102" s="59"/>
    </row>
    <row r="103" spans="1:15">
      <c r="A103" s="4"/>
      <c r="B103" s="14"/>
      <c r="C103" s="14"/>
      <c r="D103" s="59"/>
      <c r="E103" s="59"/>
    </row>
    <row r="104" spans="1:15">
      <c r="A104" s="4"/>
      <c r="B104" s="14"/>
      <c r="C104" s="14"/>
      <c r="D104" s="59"/>
      <c r="E104" s="59"/>
    </row>
    <row r="105" spans="1:15">
      <c r="A105" s="4"/>
      <c r="B105" s="14"/>
      <c r="C105" s="14"/>
      <c r="D105" s="59"/>
      <c r="E105" s="59"/>
    </row>
    <row r="106" spans="1:15">
      <c r="A106" s="4"/>
      <c r="B106" s="14"/>
      <c r="C106" s="14"/>
      <c r="D106" s="59"/>
      <c r="E106" s="59"/>
    </row>
    <row r="107" spans="1:15">
      <c r="A107" s="4"/>
      <c r="B107" s="14"/>
      <c r="C107" s="14"/>
      <c r="D107" s="59"/>
      <c r="E107" s="59"/>
    </row>
    <row r="108" spans="1:15">
      <c r="A108" s="4"/>
      <c r="B108" s="14"/>
      <c r="C108" s="14"/>
      <c r="D108" s="59"/>
      <c r="E108" s="59"/>
    </row>
    <row r="109" spans="1:15">
      <c r="A109" s="4"/>
      <c r="B109" s="14"/>
      <c r="C109" s="14"/>
      <c r="D109" s="59"/>
      <c r="E109" s="59"/>
    </row>
    <row r="110" spans="1:15">
      <c r="A110" s="4"/>
      <c r="B110" s="14"/>
      <c r="C110" s="14"/>
      <c r="D110" s="59"/>
      <c r="E110" s="59"/>
    </row>
    <row r="111" spans="1:15">
      <c r="A111" s="4"/>
      <c r="B111" s="14"/>
      <c r="C111" s="14"/>
      <c r="D111" s="59"/>
      <c r="E111" s="59"/>
    </row>
    <row r="112" spans="1:15">
      <c r="A112" s="4"/>
      <c r="B112" s="14"/>
      <c r="C112" s="14"/>
      <c r="D112" s="59"/>
      <c r="E112" s="59"/>
    </row>
    <row r="113" spans="1:5">
      <c r="A113" s="4"/>
      <c r="B113" s="14"/>
      <c r="C113" s="14"/>
      <c r="D113" s="59"/>
      <c r="E113" s="59"/>
    </row>
    <row r="114" spans="1:5">
      <c r="A114" s="4"/>
      <c r="B114" s="14"/>
      <c r="C114" s="14"/>
      <c r="D114" s="59"/>
      <c r="E114" s="59"/>
    </row>
    <row r="115" spans="1:5">
      <c r="A115" s="4"/>
      <c r="B115" s="14"/>
      <c r="C115" s="14"/>
      <c r="D115" s="59"/>
      <c r="E115" s="59"/>
    </row>
    <row r="116" spans="1:5">
      <c r="A116" s="4"/>
      <c r="B116" s="14"/>
      <c r="C116" s="14"/>
      <c r="D116" s="59"/>
      <c r="E116" s="59"/>
    </row>
    <row r="117" spans="1:5">
      <c r="A117" s="4"/>
      <c r="B117" s="14"/>
      <c r="C117" s="14"/>
      <c r="D117" s="59"/>
      <c r="E117" s="59"/>
    </row>
    <row r="118" spans="1:5">
      <c r="A118" s="4"/>
      <c r="B118" s="14"/>
      <c r="C118" s="14"/>
      <c r="D118" s="59"/>
      <c r="E118" s="59"/>
    </row>
    <row r="119" spans="1:5">
      <c r="A119" s="4"/>
      <c r="B119" s="14"/>
      <c r="C119" s="14"/>
      <c r="D119" s="59"/>
      <c r="E119" s="59"/>
    </row>
    <row r="120" spans="1:5">
      <c r="A120" s="4"/>
      <c r="B120" s="14"/>
      <c r="C120" s="14"/>
      <c r="D120" s="59"/>
      <c r="E120" s="59"/>
    </row>
    <row r="121" spans="1:5">
      <c r="A121" s="4"/>
      <c r="B121" s="14"/>
      <c r="C121" s="14"/>
      <c r="D121" s="59"/>
      <c r="E121" s="59"/>
    </row>
    <row r="122" spans="1:5">
      <c r="A122" s="4"/>
      <c r="B122" s="14"/>
      <c r="C122" s="14"/>
      <c r="D122" s="59"/>
      <c r="E122" s="59"/>
    </row>
    <row r="123" spans="1:5">
      <c r="A123" s="4"/>
      <c r="B123" s="14"/>
      <c r="C123" s="14"/>
      <c r="D123" s="59"/>
      <c r="E123" s="59"/>
    </row>
    <row r="124" spans="1:5">
      <c r="A124" s="4"/>
      <c r="B124" s="14"/>
      <c r="C124" s="14"/>
      <c r="D124" s="59"/>
      <c r="E124" s="5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99407-5ACC-9F4E-8F85-D7CCF042CB45}">
  <sheetPr codeName="Sheet3"/>
  <dimension ref="A1"/>
  <sheetViews>
    <sheetView showGridLines="0" showRowColHeaders="0" workbookViewId="0">
      <selection activeCell="B29" sqref="B29"/>
    </sheetView>
  </sheetViews>
  <sheetFormatPr baseColWidth="10" defaultRowHeight="16"/>
  <sheetData/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50D17-53B8-3A47-AC6C-319A93AAC11C}">
  <sheetPr codeName="Sheet12"/>
  <dimension ref="A1:O127"/>
  <sheetViews>
    <sheetView showGridLines="0" showRowColHeaders="0" topLeftCell="A101" zoomScaleNormal="100" workbookViewId="0">
      <selection activeCell="A100" sqref="A1:XFD100"/>
    </sheetView>
  </sheetViews>
  <sheetFormatPr baseColWidth="10" defaultRowHeight="16"/>
  <cols>
    <col min="1" max="1" width="66" style="15" customWidth="1"/>
    <col min="2" max="2" width="24.83203125" style="60" customWidth="1"/>
    <col min="3" max="3" width="14.33203125" style="61" customWidth="1"/>
    <col min="4" max="4" width="15.1640625" style="61" customWidth="1"/>
    <col min="5" max="5" width="13.5" style="61" customWidth="1"/>
    <col min="6" max="6" width="17.1640625" style="61" customWidth="1"/>
    <col min="7" max="7" width="15" style="61" customWidth="1"/>
    <col min="8" max="11" width="17.6640625" style="61" customWidth="1"/>
    <col min="12" max="12" width="21.1640625" style="15" customWidth="1"/>
    <col min="13" max="13" width="19" style="15" customWidth="1"/>
    <col min="14" max="15" width="17.83203125" style="2" customWidth="1"/>
  </cols>
  <sheetData>
    <row r="1" spans="1:15" s="57" customFormat="1" ht="71" hidden="1" customHeight="1">
      <c r="A1" s="56" t="str">
        <f>'[1]367 Community DI with Standard '!A1</f>
        <v>LZ</v>
      </c>
      <c r="B1" s="56" t="str">
        <f>'[1]367 Community DI with Standard '!B1</f>
        <v>Community</v>
      </c>
      <c r="C1" s="56" t="str">
        <f>'[1]367 Community DI with Standard '!C1</f>
        <v>Wealthgroup</v>
      </c>
      <c r="D1" s="56" t="str">
        <f>'[1]367 Community DI with Standard '!D1</f>
        <v>Disposable Income</v>
      </c>
      <c r="E1" s="56" t="str">
        <f>'[1]367 Community DI with Standard '!E1</f>
        <v>Family Group Size</v>
      </c>
      <c r="F1" s="56" t="str">
        <f>'[1]367 Community DI with Standard '!F1</f>
        <v>KCal Requirement</v>
      </c>
      <c r="G1" s="56" t="str">
        <f>'[1]367 Community DI with Standard '!G1</f>
        <v>Social Inclusion SToL</v>
      </c>
      <c r="H1" s="56" t="str">
        <f>'[1]367 Community DI with Standard '!H1</f>
        <v>Survival SToL</v>
      </c>
      <c r="I1" s="56" t="s">
        <v>32</v>
      </c>
      <c r="J1" s="56" t="s">
        <v>31</v>
      </c>
      <c r="K1" s="56" t="s">
        <v>30</v>
      </c>
      <c r="L1" s="56" t="str">
        <f>CONCATENATE("DI per AE after Social Inclusion Costs")</f>
        <v>DI per AE after Social Inclusion Costs</v>
      </c>
      <c r="M1" s="56" t="str">
        <f>CONCATENATE("DI per AE after Survival Costs")</f>
        <v>DI per AE after Survival Costs</v>
      </c>
      <c r="N1" s="58"/>
      <c r="O1" s="58"/>
    </row>
    <row r="2" spans="1:15" s="65" customFormat="1" ht="16" hidden="1" customHeight="1">
      <c r="A2" s="62"/>
      <c r="B2" s="75"/>
      <c r="C2" s="75"/>
      <c r="D2" s="75"/>
      <c r="E2" s="75"/>
      <c r="F2" s="75"/>
      <c r="G2" s="75"/>
      <c r="H2" s="75"/>
      <c r="I2" s="63"/>
      <c r="J2" s="63"/>
      <c r="K2" s="63"/>
      <c r="L2" s="66"/>
      <c r="M2" s="66"/>
      <c r="N2" s="64"/>
      <c r="O2" s="64"/>
    </row>
    <row r="3" spans="1:15" s="65" customFormat="1" ht="16" hidden="1" customHeight="1">
      <c r="A3" s="62" t="str">
        <f>'[1]367 Community DI with Standard '!$A$7</f>
        <v>Banana Coffee Piggery</v>
      </c>
      <c r="B3" s="75" t="str">
        <f>IF('[1]367 Community DI with Standard '!B3=0,"",'[1]367 Community DI with Standard '!B3)</f>
        <v>Averages</v>
      </c>
      <c r="C3" s="75" t="str">
        <f>IF('[1]367 Community DI with Standard '!C3=0,"",'[1]367 Community DI with Standard '!C3)</f>
        <v>Poor</v>
      </c>
      <c r="D3" s="75">
        <f>IF('[1]367 Community DI with Standard '!$C3="","",'[1]367 Community DI with Standard '!D3)</f>
        <v>2254401</v>
      </c>
      <c r="E3" s="75">
        <f>IF('[1]367 Community DI with Standard '!$C3="","",'[1]367 Community DI with Standard '!E3)</f>
        <v>4.75</v>
      </c>
      <c r="F3" s="75">
        <f>IF('[1]367 Community DI with Standard '!$C3="","",'[1]367 Community DI with Standard '!F3)</f>
        <v>3640875</v>
      </c>
      <c r="G3" s="75">
        <f>IF('[1]367 Community DI with Standard '!$C3="","",'[1]367 Community DI with Standard '!G3)</f>
        <v>0</v>
      </c>
      <c r="H3" s="75">
        <f>IF('[1]367 Community DI with Standard '!$C3="","",'[1]367 Community DI with Standard '!H3)</f>
        <v>0</v>
      </c>
      <c r="I3" s="63">
        <f>IF(D3="","",D3-H3)</f>
        <v>2254401</v>
      </c>
      <c r="J3" s="63">
        <f>IF(D3="","",D3-G3)</f>
        <v>2254401</v>
      </c>
      <c r="K3" s="63">
        <f>IF(D3="","",D3/E3)</f>
        <v>474610.73684210528</v>
      </c>
      <c r="L3" s="66">
        <f t="shared" ref="L3:L28" si="0">IF(D3="","",($D3-G3)/E3)</f>
        <v>474610.73684210528</v>
      </c>
      <c r="M3" s="66">
        <f>IF(D3="","",($D3-H3)/E3)</f>
        <v>474610.73684210528</v>
      </c>
      <c r="N3" s="64"/>
      <c r="O3" s="64"/>
    </row>
    <row r="4" spans="1:15" s="65" customFormat="1" ht="16" hidden="1" customHeight="1">
      <c r="A4" s="62"/>
      <c r="B4" s="75" t="str">
        <f>IF('[1]367 Community DI with Standard '!B4=0,"",'[1]367 Community DI with Standard '!B4)</f>
        <v/>
      </c>
      <c r="C4" s="75" t="str">
        <f>IF('[1]367 Community DI with Standard '!C4=0,"",'[1]367 Community DI with Standard '!C4)</f>
        <v>Middle</v>
      </c>
      <c r="D4" s="75">
        <f>IF('[1]367 Community DI with Standard '!$C4="","",'[1]367 Community DI with Standard '!D4)</f>
        <v>15657180</v>
      </c>
      <c r="E4" s="75">
        <f>IF('[1]367 Community DI with Standard '!$C4="","",'[1]367 Community DI with Standard '!E4)</f>
        <v>6</v>
      </c>
      <c r="F4" s="75">
        <f>IF('[1]367 Community DI with Standard '!$C4="","",'[1]367 Community DI with Standard '!F4)</f>
        <v>4599000</v>
      </c>
      <c r="G4" s="75">
        <f>IF('[1]367 Community DI with Standard '!$C4="","",'[1]367 Community DI with Standard '!G4)</f>
        <v>0</v>
      </c>
      <c r="H4" s="75">
        <f>IF('[1]367 Community DI with Standard '!$C4="","",'[1]367 Community DI with Standard '!H4)</f>
        <v>0</v>
      </c>
      <c r="I4" s="63">
        <f>IF(D4="","",D4-H4)</f>
        <v>15657180</v>
      </c>
      <c r="J4" s="63">
        <f t="shared" ref="J4:J67" si="1">IF(D4="","",D4-G4)</f>
        <v>15657180</v>
      </c>
      <c r="K4" s="63">
        <f t="shared" ref="K4:K67" si="2">IF(D4="","",D4/E4)</f>
        <v>2609530</v>
      </c>
      <c r="L4" s="66">
        <f t="shared" si="0"/>
        <v>2609530</v>
      </c>
      <c r="M4" s="66">
        <f t="shared" ref="M4:M67" si="3">IF(D4="","",($D4-H4)/E4)</f>
        <v>2609530</v>
      </c>
      <c r="N4" s="64"/>
      <c r="O4" s="64"/>
    </row>
    <row r="5" spans="1:15" s="65" customFormat="1" ht="16" hidden="1" customHeight="1">
      <c r="A5" s="67" t="s">
        <v>33</v>
      </c>
      <c r="B5" s="75" t="str">
        <f>IF('[1]367 Community DI with Standard '!B5=0,"",'[1]367 Community DI with Standard '!B5)</f>
        <v/>
      </c>
      <c r="C5" s="75" t="str">
        <f>IF('[1]367 Community DI with Standard '!C5=0,"",'[1]367 Community DI with Standard '!C5)</f>
        <v>Better Off</v>
      </c>
      <c r="D5" s="75">
        <f>IF('[1]367 Community DI with Standard '!$C5="","",'[1]367 Community DI with Standard '!D5)</f>
        <v>4547972</v>
      </c>
      <c r="E5" s="75">
        <f>IF('[1]367 Community DI with Standard '!$C5="","",'[1]367 Community DI with Standard '!E5)</f>
        <v>5.75</v>
      </c>
      <c r="F5" s="75">
        <f>IF('[1]367 Community DI with Standard '!$C5="","",'[1]367 Community DI with Standard '!F5)</f>
        <v>4407375</v>
      </c>
      <c r="G5" s="75">
        <f>IF('[1]367 Community DI with Standard '!$C5="","",'[1]367 Community DI with Standard '!G5)</f>
        <v>0</v>
      </c>
      <c r="H5" s="75">
        <f>IF('[1]367 Community DI with Standard '!$C5="","",'[1]367 Community DI with Standard '!H5)</f>
        <v>0</v>
      </c>
      <c r="I5" s="63">
        <f>IF(D5="","",D5-H5)</f>
        <v>4547972</v>
      </c>
      <c r="J5" s="63">
        <f t="shared" si="1"/>
        <v>4547972</v>
      </c>
      <c r="K5" s="63">
        <f t="shared" si="2"/>
        <v>790951.65217391308</v>
      </c>
      <c r="L5" s="66">
        <f t="shared" si="0"/>
        <v>790951.65217391308</v>
      </c>
      <c r="M5" s="66">
        <f t="shared" si="3"/>
        <v>790951.65217391308</v>
      </c>
      <c r="N5" s="64"/>
      <c r="O5" s="64"/>
    </row>
    <row r="6" spans="1:15" s="65" customFormat="1" ht="16" hidden="1" customHeight="1">
      <c r="A6" s="77" t="str">
        <f>_xlfn.CONCAT(A3, " LZ, Disposable Income per Adult Equivalent (",Summary!C6,")")</f>
        <v>Banana Coffee Piggery LZ, Disposable Income per Adult Equivalent (UGX)</v>
      </c>
      <c r="B6" s="75" t="str">
        <f>IF('[1]367 Community DI with Standard '!B6=0,"",'[1]367 Community DI with Standard '!B6)</f>
        <v/>
      </c>
      <c r="C6" s="75" t="str">
        <f>IF('[1]367 Community DI with Standard '!C6=0,"",'[1]367 Community DI with Standard '!C6)</f>
        <v/>
      </c>
      <c r="D6" s="75" t="str">
        <f>IF('[1]367 Community DI with Standard '!$C6="","",'[1]367 Community DI with Standard '!D6)</f>
        <v/>
      </c>
      <c r="E6" s="75" t="str">
        <f>IF('[1]367 Community DI with Standard '!$C6="","",'[1]367 Community DI with Standard '!E6)</f>
        <v/>
      </c>
      <c r="F6" s="75" t="str">
        <f>IF('[1]367 Community DI with Standard '!$C6="","",'[1]367 Community DI with Standard '!F6)</f>
        <v/>
      </c>
      <c r="G6" s="75" t="str">
        <f>IF('[1]367 Community DI with Standard '!$C6="","",'[1]367 Community DI with Standard '!G6)</f>
        <v/>
      </c>
      <c r="H6" s="75" t="str">
        <f>IF('[1]367 Community DI with Standard '!$C6="","",'[1]367 Community DI with Standard '!H6)</f>
        <v/>
      </c>
      <c r="I6" s="63"/>
      <c r="J6" s="63" t="str">
        <f t="shared" si="1"/>
        <v/>
      </c>
      <c r="K6" s="63" t="str">
        <f t="shared" si="2"/>
        <v/>
      </c>
      <c r="L6" s="66" t="str">
        <f t="shared" si="0"/>
        <v/>
      </c>
      <c r="M6" s="66" t="str">
        <f t="shared" si="3"/>
        <v/>
      </c>
      <c r="N6" s="64"/>
      <c r="O6" s="64"/>
    </row>
    <row r="7" spans="1:15" s="65" customFormat="1" ht="16" hidden="1" customHeight="1">
      <c r="A7" s="67" t="s">
        <v>34</v>
      </c>
      <c r="B7" s="75" t="str">
        <f>IF('[1]367 Community DI with Standard '!B7=0,"",'[1]367 Community DI with Standard '!B7)</f>
        <v>Mukono Butere</v>
      </c>
      <c r="C7" s="75" t="str">
        <f>IF('[1]367 Community DI with Standard '!C7=0,"",'[1]367 Community DI with Standard '!C7)</f>
        <v>Poor</v>
      </c>
      <c r="D7" s="75">
        <f>IF('[1]367 Community DI with Standard '!$C7="","",'[1]367 Community DI with Standard '!D7)</f>
        <v>7400000</v>
      </c>
      <c r="E7" s="75">
        <f>IF('[1]367 Community DI with Standard '!$C7="","",'[1]367 Community DI with Standard '!E7)</f>
        <v>6</v>
      </c>
      <c r="F7" s="75">
        <f>IF('[1]367 Community DI with Standard '!$C7="","",'[1]367 Community DI with Standard '!F7)</f>
        <v>4599000</v>
      </c>
      <c r="G7" s="75">
        <f>IF('[1]367 Community DI with Standard '!$C7="","",'[1]367 Community DI with Standard '!G7)</f>
        <v>0</v>
      </c>
      <c r="H7" s="75">
        <f>IF('[1]367 Community DI with Standard '!$C7="","",'[1]367 Community DI with Standard '!H7)</f>
        <v>0</v>
      </c>
      <c r="I7" s="63">
        <f t="shared" ref="I7:I70" si="4">IF(D7="","",D7-H7)</f>
        <v>7400000</v>
      </c>
      <c r="J7" s="63">
        <f t="shared" si="1"/>
        <v>7400000</v>
      </c>
      <c r="K7" s="63">
        <f t="shared" si="2"/>
        <v>1233333.3333333333</v>
      </c>
      <c r="L7" s="66">
        <f t="shared" si="0"/>
        <v>1233333.3333333333</v>
      </c>
      <c r="M7" s="66">
        <f t="shared" si="3"/>
        <v>1233333.3333333333</v>
      </c>
      <c r="N7" s="64"/>
      <c r="O7" s="64"/>
    </row>
    <row r="8" spans="1:15" s="65" customFormat="1" ht="16" hidden="1" customHeight="1">
      <c r="A8" s="77" t="str">
        <f>_xlfn.CONCAT(A3, " LZ, Disposable Income  (",Summary!C6,")")</f>
        <v>Banana Coffee Piggery LZ, Disposable Income  (UGX)</v>
      </c>
      <c r="B8" s="75" t="str">
        <f>IF('[1]367 Community DI with Standard '!B8=0,"",'[1]367 Community DI with Standard '!B8)</f>
        <v/>
      </c>
      <c r="C8" s="75" t="str">
        <f>IF('[1]367 Community DI with Standard '!C8=0,"",'[1]367 Community DI with Standard '!C8)</f>
        <v>Middle</v>
      </c>
      <c r="D8" s="75">
        <f>IF('[1]367 Community DI with Standard '!$C8="","",'[1]367 Community DI with Standard '!D8)</f>
        <v>27083800</v>
      </c>
      <c r="E8" s="75">
        <f>IF('[1]367 Community DI with Standard '!$C8="","",'[1]367 Community DI with Standard '!E8)</f>
        <v>7</v>
      </c>
      <c r="F8" s="75">
        <f>IF('[1]367 Community DI with Standard '!$C8="","",'[1]367 Community DI with Standard '!F8)</f>
        <v>5365500</v>
      </c>
      <c r="G8" s="75">
        <f>IF('[1]367 Community DI with Standard '!$C8="","",'[1]367 Community DI with Standard '!G8)</f>
        <v>0</v>
      </c>
      <c r="H8" s="75">
        <f>IF('[1]367 Community DI with Standard '!$C8="","",'[1]367 Community DI with Standard '!H8)</f>
        <v>0</v>
      </c>
      <c r="I8" s="63">
        <f t="shared" si="4"/>
        <v>27083800</v>
      </c>
      <c r="J8" s="63">
        <f t="shared" si="1"/>
        <v>27083800</v>
      </c>
      <c r="K8" s="63">
        <f t="shared" si="2"/>
        <v>3869114.2857142859</v>
      </c>
      <c r="L8" s="66">
        <f t="shared" si="0"/>
        <v>3869114.2857142859</v>
      </c>
      <c r="M8" s="66">
        <f t="shared" si="3"/>
        <v>3869114.2857142859</v>
      </c>
      <c r="N8" s="64"/>
      <c r="O8" s="64"/>
    </row>
    <row r="9" spans="1:15" s="65" customFormat="1" ht="16" hidden="1" customHeight="1">
      <c r="A9" s="62"/>
      <c r="B9" s="75" t="str">
        <f>IF('[1]367 Community DI with Standard '!B9=0,"",'[1]367 Community DI with Standard '!B9)</f>
        <v/>
      </c>
      <c r="C9" s="75" t="str">
        <f>IF('[1]367 Community DI with Standard '!C9=0,"",'[1]367 Community DI with Standard '!C9)</f>
        <v>Better Off</v>
      </c>
      <c r="D9" s="75">
        <f>IF('[1]367 Community DI with Standard '!$C9="","",'[1]367 Community DI with Standard '!D9)</f>
        <v>2164000</v>
      </c>
      <c r="E9" s="75">
        <f>IF('[1]367 Community DI with Standard '!$C9="","",'[1]367 Community DI with Standard '!E9)</f>
        <v>4</v>
      </c>
      <c r="F9" s="75">
        <f>IF('[1]367 Community DI with Standard '!$C9="","",'[1]367 Community DI with Standard '!F9)</f>
        <v>3066000</v>
      </c>
      <c r="G9" s="75">
        <f>IF('[1]367 Community DI with Standard '!$C9="","",'[1]367 Community DI with Standard '!G9)</f>
        <v>0</v>
      </c>
      <c r="H9" s="75">
        <f>IF('[1]367 Community DI with Standard '!$C9="","",'[1]367 Community DI with Standard '!H9)</f>
        <v>0</v>
      </c>
      <c r="I9" s="63">
        <f t="shared" si="4"/>
        <v>2164000</v>
      </c>
      <c r="J9" s="63">
        <f t="shared" si="1"/>
        <v>2164000</v>
      </c>
      <c r="K9" s="63">
        <f t="shared" si="2"/>
        <v>541000</v>
      </c>
      <c r="L9" s="66">
        <f t="shared" si="0"/>
        <v>541000</v>
      </c>
      <c r="M9" s="66">
        <f t="shared" si="3"/>
        <v>541000</v>
      </c>
      <c r="N9" s="64"/>
      <c r="O9" s="64"/>
    </row>
    <row r="10" spans="1:15" s="65" customFormat="1" ht="16" hidden="1" customHeight="1">
      <c r="A10" s="67" t="s">
        <v>35</v>
      </c>
      <c r="B10" s="75" t="str">
        <f>IF('[1]367 Community DI with Standard '!B10=0,"",'[1]367 Community DI with Standard '!B10)</f>
        <v>Mukono Lusera</v>
      </c>
      <c r="C10" s="75" t="str">
        <f>IF('[1]367 Community DI with Standard '!C10=0,"",'[1]367 Community DI with Standard '!C10)</f>
        <v>Poor</v>
      </c>
      <c r="D10" s="75">
        <f>IF('[1]367 Community DI with Standard '!$C10="","",'[1]367 Community DI with Standard '!D10)</f>
        <v>1119804</v>
      </c>
      <c r="E10" s="75">
        <f>IF('[1]367 Community DI with Standard '!$C10="","",'[1]367 Community DI with Standard '!E10)</f>
        <v>3</v>
      </c>
      <c r="F10" s="75">
        <f>IF('[1]367 Community DI with Standard '!$C10="","",'[1]367 Community DI with Standard '!F10)</f>
        <v>2299500</v>
      </c>
      <c r="G10" s="75">
        <f>IF('[1]367 Community DI with Standard '!$C10="","",'[1]367 Community DI with Standard '!G10)</f>
        <v>0</v>
      </c>
      <c r="H10" s="75">
        <f>IF('[1]367 Community DI with Standard '!$C10="","",'[1]367 Community DI with Standard '!H10)</f>
        <v>0</v>
      </c>
      <c r="I10" s="63">
        <f t="shared" si="4"/>
        <v>1119804</v>
      </c>
      <c r="J10" s="63">
        <f t="shared" si="1"/>
        <v>1119804</v>
      </c>
      <c r="K10" s="63">
        <f t="shared" si="2"/>
        <v>373268</v>
      </c>
      <c r="L10" s="66">
        <f t="shared" si="0"/>
        <v>373268</v>
      </c>
      <c r="M10" s="66">
        <f t="shared" si="3"/>
        <v>373268</v>
      </c>
      <c r="N10" s="64"/>
      <c r="O10" s="64"/>
    </row>
    <row r="11" spans="1:15" s="65" customFormat="1" ht="16" hidden="1" customHeight="1">
      <c r="A11" s="77" t="str">
        <f>_xlfn.CONCAT(A3, " LZ, Average Disposable Income per Adult Equivalent (",Summary!C6,")")</f>
        <v>Banana Coffee Piggery LZ, Average Disposable Income per Adult Equivalent (UGX)</v>
      </c>
      <c r="B11" s="75" t="str">
        <f>IF('[1]367 Community DI with Standard '!B11=0,"",'[1]367 Community DI with Standard '!B11)</f>
        <v/>
      </c>
      <c r="C11" s="75" t="str">
        <f>IF('[1]367 Community DI with Standard '!C11=0,"",'[1]367 Community DI with Standard '!C11)</f>
        <v>Middle</v>
      </c>
      <c r="D11" s="75">
        <f>IF('[1]367 Community DI with Standard '!$C11="","",'[1]367 Community DI with Standard '!D11)</f>
        <v>2248160</v>
      </c>
      <c r="E11" s="75">
        <f>IF('[1]367 Community DI with Standard '!$C11="","",'[1]367 Community DI with Standard '!E11)</f>
        <v>5</v>
      </c>
      <c r="F11" s="75">
        <f>IF('[1]367 Community DI with Standard '!$C11="","",'[1]367 Community DI with Standard '!F11)</f>
        <v>3832500</v>
      </c>
      <c r="G11" s="75">
        <f>IF('[1]367 Community DI with Standard '!$C11="","",'[1]367 Community DI with Standard '!G11)</f>
        <v>0</v>
      </c>
      <c r="H11" s="75">
        <f>IF('[1]367 Community DI with Standard '!$C11="","",'[1]367 Community DI with Standard '!H11)</f>
        <v>0</v>
      </c>
      <c r="I11" s="63">
        <f t="shared" si="4"/>
        <v>2248160</v>
      </c>
      <c r="J11" s="63">
        <f t="shared" si="1"/>
        <v>2248160</v>
      </c>
      <c r="K11" s="63">
        <f t="shared" si="2"/>
        <v>449632</v>
      </c>
      <c r="L11" s="66">
        <f t="shared" si="0"/>
        <v>449632</v>
      </c>
      <c r="M11" s="66">
        <f t="shared" si="3"/>
        <v>449632</v>
      </c>
      <c r="N11" s="64"/>
      <c r="O11" s="64"/>
    </row>
    <row r="12" spans="1:15" s="65" customFormat="1" ht="16" hidden="1" customHeight="1">
      <c r="A12" s="62"/>
      <c r="B12" s="75" t="str">
        <f>IF('[1]367 Community DI with Standard '!B12=0,"",'[1]367 Community DI with Standard '!B12)</f>
        <v/>
      </c>
      <c r="C12" s="75" t="str">
        <f>IF('[1]367 Community DI with Standard '!C12=0,"",'[1]367 Community DI with Standard '!C12)</f>
        <v>Better Off</v>
      </c>
      <c r="D12" s="75">
        <f>IF('[1]367 Community DI with Standard '!$C12="","",'[1]367 Community DI with Standard '!D12)</f>
        <v>6230</v>
      </c>
      <c r="E12" s="75">
        <f>IF('[1]367 Community DI with Standard '!$C12="","",'[1]367 Community DI with Standard '!E12)</f>
        <v>4</v>
      </c>
      <c r="F12" s="75">
        <f>IF('[1]367 Community DI with Standard '!$C12="","",'[1]367 Community DI with Standard '!F12)</f>
        <v>3066000</v>
      </c>
      <c r="G12" s="75">
        <f>IF('[1]367 Community DI with Standard '!$C12="","",'[1]367 Community DI with Standard '!G12)</f>
        <v>0</v>
      </c>
      <c r="H12" s="75">
        <f>IF('[1]367 Community DI with Standard '!$C12="","",'[1]367 Community DI with Standard '!H12)</f>
        <v>0</v>
      </c>
      <c r="I12" s="63">
        <f t="shared" si="4"/>
        <v>6230</v>
      </c>
      <c r="J12" s="63">
        <f t="shared" si="1"/>
        <v>6230</v>
      </c>
      <c r="K12" s="63">
        <f t="shared" si="2"/>
        <v>1557.5</v>
      </c>
      <c r="L12" s="66">
        <f t="shared" si="0"/>
        <v>1557.5</v>
      </c>
      <c r="M12" s="66">
        <f t="shared" si="3"/>
        <v>1557.5</v>
      </c>
      <c r="N12" s="64"/>
      <c r="O12" s="64"/>
    </row>
    <row r="13" spans="1:15" s="65" customFormat="1" ht="16" hidden="1" customHeight="1">
      <c r="A13" s="67" t="s">
        <v>36</v>
      </c>
      <c r="B13" s="75" t="str">
        <f>IF('[1]367 Community DI with Standard '!B13=0,"",'[1]367 Community DI with Standard '!B13)</f>
        <v>Mukono Nakisunga</v>
      </c>
      <c r="C13" s="75" t="str">
        <f>IF('[1]367 Community DI with Standard '!C13=0,"",'[1]367 Community DI with Standard '!C13)</f>
        <v>Poor</v>
      </c>
      <c r="D13" s="75">
        <f>IF('[1]367 Community DI with Standard '!$C13="","",'[1]367 Community DI with Standard '!D13)</f>
        <v>32800</v>
      </c>
      <c r="E13" s="75">
        <f>IF('[1]367 Community DI with Standard '!$C13="","",'[1]367 Community DI with Standard '!E13)</f>
        <v>5</v>
      </c>
      <c r="F13" s="75">
        <f>IF('[1]367 Community DI with Standard '!$C13="","",'[1]367 Community DI with Standard '!F13)</f>
        <v>3832500</v>
      </c>
      <c r="G13" s="75">
        <f>IF('[1]367 Community DI with Standard '!$C13="","",'[1]367 Community DI with Standard '!G13)</f>
        <v>0</v>
      </c>
      <c r="H13" s="75">
        <f>IF('[1]367 Community DI with Standard '!$C13="","",'[1]367 Community DI with Standard '!H13)</f>
        <v>0</v>
      </c>
      <c r="I13" s="63">
        <f t="shared" si="4"/>
        <v>32800</v>
      </c>
      <c r="J13" s="63">
        <f t="shared" si="1"/>
        <v>32800</v>
      </c>
      <c r="K13" s="63">
        <f t="shared" si="2"/>
        <v>6560</v>
      </c>
      <c r="L13" s="66">
        <f t="shared" si="0"/>
        <v>6560</v>
      </c>
      <c r="M13" s="66">
        <f t="shared" si="3"/>
        <v>6560</v>
      </c>
      <c r="N13" s="64"/>
      <c r="O13" s="64"/>
    </row>
    <row r="14" spans="1:15" s="65" customFormat="1" ht="16" hidden="1" customHeight="1">
      <c r="A14" s="77" t="str">
        <f>_xlfn.CONCAT(A3, " LZ, Average Disposable Income  (",Summary!C6,")")</f>
        <v>Banana Coffee Piggery LZ, Average Disposable Income  (UGX)</v>
      </c>
      <c r="B14" s="75" t="str">
        <f>IF('[1]367 Community DI with Standard '!B14=0,"",'[1]367 Community DI with Standard '!B14)</f>
        <v/>
      </c>
      <c r="C14" s="75" t="str">
        <f>IF('[1]367 Community DI with Standard '!C14=0,"",'[1]367 Community DI with Standard '!C14)</f>
        <v>Middle</v>
      </c>
      <c r="D14" s="75">
        <f>IF('[1]367 Community DI with Standard '!$C14="","",'[1]367 Community DI with Standard '!D14)</f>
        <v>6212960</v>
      </c>
      <c r="E14" s="75">
        <f>IF('[1]367 Community DI with Standard '!$C14="","",'[1]367 Community DI with Standard '!E14)</f>
        <v>5</v>
      </c>
      <c r="F14" s="75">
        <f>IF('[1]367 Community DI with Standard '!$C14="","",'[1]367 Community DI with Standard '!F14)</f>
        <v>3832500</v>
      </c>
      <c r="G14" s="75">
        <f>IF('[1]367 Community DI with Standard '!$C14="","",'[1]367 Community DI with Standard '!G14)</f>
        <v>0</v>
      </c>
      <c r="H14" s="75">
        <f>IF('[1]367 Community DI with Standard '!$C14="","",'[1]367 Community DI with Standard '!H14)</f>
        <v>0</v>
      </c>
      <c r="I14" s="63">
        <f t="shared" si="4"/>
        <v>6212960</v>
      </c>
      <c r="J14" s="63">
        <f t="shared" si="1"/>
        <v>6212960</v>
      </c>
      <c r="K14" s="63">
        <f t="shared" si="2"/>
        <v>1242592</v>
      </c>
      <c r="L14" s="66">
        <f t="shared" si="0"/>
        <v>1242592</v>
      </c>
      <c r="M14" s="66">
        <f t="shared" si="3"/>
        <v>1242592</v>
      </c>
      <c r="N14" s="64"/>
      <c r="O14" s="64"/>
    </row>
    <row r="15" spans="1:15" s="65" customFormat="1" ht="16" hidden="1" customHeight="1">
      <c r="A15" s="62"/>
      <c r="B15" s="75" t="str">
        <f>IF('[1]367 Community DI with Standard '!B15=0,"",'[1]367 Community DI with Standard '!B15)</f>
        <v/>
      </c>
      <c r="C15" s="75" t="str">
        <f>IF('[1]367 Community DI with Standard '!C15=0,"",'[1]367 Community DI with Standard '!C15)</f>
        <v>Better Off</v>
      </c>
      <c r="D15" s="75">
        <f>IF('[1]367 Community DI with Standard '!$C15="","",'[1]367 Community DI with Standard '!D15)</f>
        <v>0</v>
      </c>
      <c r="E15" s="75">
        <f>IF('[1]367 Community DI with Standard '!$C15="","",'[1]367 Community DI with Standard '!E15)</f>
        <v>6</v>
      </c>
      <c r="F15" s="75">
        <f>IF('[1]367 Community DI with Standard '!$C15="","",'[1]367 Community DI with Standard '!F15)</f>
        <v>4599000</v>
      </c>
      <c r="G15" s="75">
        <f>IF('[1]367 Community DI with Standard '!$C15="","",'[1]367 Community DI with Standard '!G15)</f>
        <v>0</v>
      </c>
      <c r="H15" s="75">
        <f>IF('[1]367 Community DI with Standard '!$C15="","",'[1]367 Community DI with Standard '!H15)</f>
        <v>0</v>
      </c>
      <c r="I15" s="63">
        <f t="shared" si="4"/>
        <v>0</v>
      </c>
      <c r="J15" s="63">
        <f t="shared" si="1"/>
        <v>0</v>
      </c>
      <c r="K15" s="63">
        <f t="shared" si="2"/>
        <v>0</v>
      </c>
      <c r="L15" s="66">
        <f t="shared" si="0"/>
        <v>0</v>
      </c>
      <c r="M15" s="66">
        <f t="shared" si="3"/>
        <v>0</v>
      </c>
      <c r="N15" s="64"/>
      <c r="O15" s="64"/>
    </row>
    <row r="16" spans="1:15" s="65" customFormat="1" ht="16" hidden="1" customHeight="1">
      <c r="A16" s="62"/>
      <c r="B16" s="75" t="str">
        <f>IF('[1]367 Community DI with Standard '!B16=0,"",'[1]367 Community DI with Standard '!B16)</f>
        <v>Mukono Ntenjeru</v>
      </c>
      <c r="C16" s="75" t="str">
        <f>IF('[1]367 Community DI with Standard '!C16=0,"",'[1]367 Community DI with Standard '!C16)</f>
        <v>Poor</v>
      </c>
      <c r="D16" s="75">
        <f>IF('[1]367 Community DI with Standard '!$C16="","",'[1]367 Community DI with Standard '!D16)</f>
        <v>465000</v>
      </c>
      <c r="E16" s="75">
        <f>IF('[1]367 Community DI with Standard '!$C16="","",'[1]367 Community DI with Standard '!E16)</f>
        <v>5</v>
      </c>
      <c r="F16" s="75">
        <f>IF('[1]367 Community DI with Standard '!$C16="","",'[1]367 Community DI with Standard '!F16)</f>
        <v>3832500</v>
      </c>
      <c r="G16" s="75">
        <f>IF('[1]367 Community DI with Standard '!$C16="","",'[1]367 Community DI with Standard '!G16)</f>
        <v>0</v>
      </c>
      <c r="H16" s="75">
        <f>IF('[1]367 Community DI with Standard '!$C16="","",'[1]367 Community DI with Standard '!H16)</f>
        <v>0</v>
      </c>
      <c r="I16" s="63">
        <f t="shared" si="4"/>
        <v>465000</v>
      </c>
      <c r="J16" s="63">
        <f t="shared" si="1"/>
        <v>465000</v>
      </c>
      <c r="K16" s="63">
        <f t="shared" si="2"/>
        <v>93000</v>
      </c>
      <c r="L16" s="66">
        <f t="shared" si="0"/>
        <v>93000</v>
      </c>
      <c r="M16" s="66">
        <f t="shared" si="3"/>
        <v>93000</v>
      </c>
      <c r="N16" s="64"/>
      <c r="O16" s="64"/>
    </row>
    <row r="17" spans="1:15" s="65" customFormat="1" ht="16" hidden="1" customHeight="1">
      <c r="A17" s="62"/>
      <c r="B17" s="75" t="str">
        <f>IF('[1]367 Community DI with Standard '!B17=0,"",'[1]367 Community DI with Standard '!B17)</f>
        <v/>
      </c>
      <c r="C17" s="75" t="str">
        <f>IF('[1]367 Community DI with Standard '!C17=0,"",'[1]367 Community DI with Standard '!C17)</f>
        <v>Middle</v>
      </c>
      <c r="D17" s="75">
        <f>IF('[1]367 Community DI with Standard '!$C17="","",'[1]367 Community DI with Standard '!D17)</f>
        <v>27083800</v>
      </c>
      <c r="E17" s="75">
        <f>IF('[1]367 Community DI with Standard '!$C17="","",'[1]367 Community DI with Standard '!E17)</f>
        <v>7</v>
      </c>
      <c r="F17" s="75">
        <f>IF('[1]367 Community DI with Standard '!$C17="","",'[1]367 Community DI with Standard '!F17)</f>
        <v>5365500</v>
      </c>
      <c r="G17" s="75">
        <f>IF('[1]367 Community DI with Standard '!$C17="","",'[1]367 Community DI with Standard '!G17)</f>
        <v>0</v>
      </c>
      <c r="H17" s="75">
        <f>IF('[1]367 Community DI with Standard '!$C17="","",'[1]367 Community DI with Standard '!H17)</f>
        <v>0</v>
      </c>
      <c r="I17" s="63">
        <f t="shared" si="4"/>
        <v>27083800</v>
      </c>
      <c r="J17" s="63">
        <f t="shared" si="1"/>
        <v>27083800</v>
      </c>
      <c r="K17" s="63">
        <f t="shared" si="2"/>
        <v>3869114.2857142859</v>
      </c>
      <c r="L17" s="66">
        <f t="shared" si="0"/>
        <v>3869114.2857142859</v>
      </c>
      <c r="M17" s="66">
        <f t="shared" si="3"/>
        <v>3869114.2857142859</v>
      </c>
      <c r="N17" s="64"/>
      <c r="O17" s="64"/>
    </row>
    <row r="18" spans="1:15" s="65" customFormat="1" ht="16" hidden="1" customHeight="1">
      <c r="A18" s="67" t="s">
        <v>37</v>
      </c>
      <c r="B18" s="75" t="str">
        <f>IF('[1]367 Community DI with Standard '!B18=0,"",'[1]367 Community DI with Standard '!B18)</f>
        <v/>
      </c>
      <c r="C18" s="75" t="str">
        <f>IF('[1]367 Community DI with Standard '!C18=0,"",'[1]367 Community DI with Standard '!C18)</f>
        <v>Better Off</v>
      </c>
      <c r="D18" s="75">
        <f>IF('[1]367 Community DI with Standard '!$C18="","",'[1]367 Community DI with Standard '!D18)</f>
        <v>16021658</v>
      </c>
      <c r="E18" s="75">
        <f>IF('[1]367 Community DI with Standard '!$C18="","",'[1]367 Community DI with Standard '!E18)</f>
        <v>9</v>
      </c>
      <c r="F18" s="75">
        <f>IF('[1]367 Community DI with Standard '!$C18="","",'[1]367 Community DI with Standard '!F18)</f>
        <v>6898500</v>
      </c>
      <c r="G18" s="75">
        <f>IF('[1]367 Community DI with Standard '!$C18="","",'[1]367 Community DI with Standard '!G18)</f>
        <v>0</v>
      </c>
      <c r="H18" s="75">
        <f>IF('[1]367 Community DI with Standard '!$C18="","",'[1]367 Community DI with Standard '!H18)</f>
        <v>0</v>
      </c>
      <c r="I18" s="63">
        <f t="shared" si="4"/>
        <v>16021658</v>
      </c>
      <c r="J18" s="63">
        <f t="shared" si="1"/>
        <v>16021658</v>
      </c>
      <c r="K18" s="63">
        <f t="shared" si="2"/>
        <v>1780184.2222222222</v>
      </c>
      <c r="L18" s="66">
        <f t="shared" si="0"/>
        <v>1780184.2222222222</v>
      </c>
      <c r="M18" s="66">
        <f t="shared" si="3"/>
        <v>1780184.2222222222</v>
      </c>
      <c r="N18" s="64"/>
      <c r="O18" s="64"/>
    </row>
    <row r="19" spans="1:15" s="65" customFormat="1" ht="16" hidden="1" customHeight="1">
      <c r="A19" s="62">
        <f>DI_No_of_WGs</f>
        <v>12</v>
      </c>
      <c r="B19" s="75" t="str">
        <f>IF('[1]367 Community DI with Standard '!B19=0,"",'[1]367 Community DI with Standard '!B19)</f>
        <v/>
      </c>
      <c r="C19" s="75" t="str">
        <f>IF('[1]367 Community DI with Standard '!C19=0,"",'[1]367 Community DI with Standard '!C19)</f>
        <v/>
      </c>
      <c r="D19" s="75" t="str">
        <f>IF('[1]367 Community DI with Standard '!$C19="","",'[1]367 Community DI with Standard '!D19)</f>
        <v/>
      </c>
      <c r="E19" s="75" t="str">
        <f>IF('[1]367 Community DI with Standard '!$C19="","",'[1]367 Community DI with Standard '!E19)</f>
        <v/>
      </c>
      <c r="F19" s="75" t="str">
        <f>IF('[1]367 Community DI with Standard '!$C19="","",'[1]367 Community DI with Standard '!F19)</f>
        <v/>
      </c>
      <c r="G19" s="75" t="str">
        <f>IF('[1]367 Community DI with Standard '!$C19="","",'[1]367 Community DI with Standard '!G19)</f>
        <v/>
      </c>
      <c r="H19" s="75" t="str">
        <f>IF('[1]367 Community DI with Standard '!$C19="","",'[1]367 Community DI with Standard '!H19)</f>
        <v/>
      </c>
      <c r="I19" s="63" t="str">
        <f t="shared" si="4"/>
        <v/>
      </c>
      <c r="J19" s="63" t="str">
        <f t="shared" si="1"/>
        <v/>
      </c>
      <c r="K19" s="63" t="str">
        <f t="shared" si="2"/>
        <v/>
      </c>
      <c r="L19" s="66" t="str">
        <f t="shared" si="0"/>
        <v/>
      </c>
      <c r="M19" s="66" t="str">
        <f t="shared" si="3"/>
        <v/>
      </c>
      <c r="N19" s="64"/>
      <c r="O19" s="64"/>
    </row>
    <row r="20" spans="1:15" s="65" customFormat="1" ht="16" hidden="1" customHeight="1">
      <c r="A20" s="62"/>
      <c r="B20" s="75" t="str">
        <f>IF('[1]367 Community DI with Standard '!B20=0,"",'[1]367 Community DI with Standard '!B20)</f>
        <v/>
      </c>
      <c r="C20" s="75" t="str">
        <f>IF('[1]367 Community DI with Standard '!C20=0,"",'[1]367 Community DI with Standard '!C20)</f>
        <v/>
      </c>
      <c r="D20" s="75" t="str">
        <f>IF('[1]367 Community DI with Standard '!$C20="","",'[1]367 Community DI with Standard '!D20)</f>
        <v/>
      </c>
      <c r="E20" s="75" t="str">
        <f>IF('[1]367 Community DI with Standard '!$C20="","",'[1]367 Community DI with Standard '!E20)</f>
        <v/>
      </c>
      <c r="F20" s="75" t="str">
        <f>IF('[1]367 Community DI with Standard '!$C20="","",'[1]367 Community DI with Standard '!F20)</f>
        <v/>
      </c>
      <c r="G20" s="75" t="str">
        <f>IF('[1]367 Community DI with Standard '!$C20="","",'[1]367 Community DI with Standard '!G20)</f>
        <v/>
      </c>
      <c r="H20" s="75" t="str">
        <f>IF('[1]367 Community DI with Standard '!$C20="","",'[1]367 Community DI with Standard '!H20)</f>
        <v/>
      </c>
      <c r="I20" s="63" t="str">
        <f t="shared" si="4"/>
        <v/>
      </c>
      <c r="J20" s="63" t="str">
        <f t="shared" si="1"/>
        <v/>
      </c>
      <c r="K20" s="63" t="str">
        <f t="shared" si="2"/>
        <v/>
      </c>
      <c r="L20" s="66" t="str">
        <f t="shared" si="0"/>
        <v/>
      </c>
      <c r="M20" s="66" t="str">
        <f t="shared" si="3"/>
        <v/>
      </c>
      <c r="N20" s="64"/>
      <c r="O20" s="64"/>
    </row>
    <row r="21" spans="1:15" s="65" customFormat="1" ht="16" hidden="1" customHeight="1">
      <c r="A21" s="67" t="s">
        <v>38</v>
      </c>
      <c r="B21" s="75" t="str">
        <f>IF('[1]367 Community DI with Standard '!B21=0,"",'[1]367 Community DI with Standard '!B21)</f>
        <v/>
      </c>
      <c r="C21" s="75" t="str">
        <f>IF('[1]367 Community DI with Standard '!C21=0,"",'[1]367 Community DI with Standard '!C21)</f>
        <v/>
      </c>
      <c r="D21" s="75" t="str">
        <f>IF('[1]367 Community DI with Standard '!$C21="","",'[1]367 Community DI with Standard '!D21)</f>
        <v/>
      </c>
      <c r="E21" s="75" t="str">
        <f>IF('[1]367 Community DI with Standard '!$C21="","",'[1]367 Community DI with Standard '!E21)</f>
        <v/>
      </c>
      <c r="F21" s="75" t="str">
        <f>IF('[1]367 Community DI with Standard '!$C21="","",'[1]367 Community DI with Standard '!F21)</f>
        <v/>
      </c>
      <c r="G21" s="75" t="str">
        <f>IF('[1]367 Community DI with Standard '!$C21="","",'[1]367 Community DI with Standard '!G21)</f>
        <v/>
      </c>
      <c r="H21" s="75" t="str">
        <f>IF('[1]367 Community DI with Standard '!$C21="","",'[1]367 Community DI with Standard '!H21)</f>
        <v/>
      </c>
      <c r="I21" s="63" t="str">
        <f t="shared" si="4"/>
        <v/>
      </c>
      <c r="J21" s="63" t="str">
        <f t="shared" si="1"/>
        <v/>
      </c>
      <c r="K21" s="63" t="str">
        <f t="shared" si="2"/>
        <v/>
      </c>
      <c r="L21" s="66" t="str">
        <f t="shared" si="0"/>
        <v/>
      </c>
      <c r="M21" s="66" t="str">
        <f t="shared" si="3"/>
        <v/>
      </c>
      <c r="N21" s="64"/>
      <c r="O21" s="64"/>
    </row>
    <row r="22" spans="1:15" s="65" customFormat="1" ht="16" hidden="1" customHeight="1">
      <c r="A22" s="62">
        <f>A19/3</f>
        <v>4</v>
      </c>
      <c r="B22" s="75" t="str">
        <f>IF('[1]367 Community DI with Standard '!B22=0,"",'[1]367 Community DI with Standard '!B22)</f>
        <v/>
      </c>
      <c r="C22" s="75" t="str">
        <f>IF('[1]367 Community DI with Standard '!C22=0,"",'[1]367 Community DI with Standard '!C22)</f>
        <v/>
      </c>
      <c r="D22" s="75" t="str">
        <f>IF('[1]367 Community DI with Standard '!$C22="","",'[1]367 Community DI with Standard '!D22)</f>
        <v/>
      </c>
      <c r="E22" s="75" t="str">
        <f>IF('[1]367 Community DI with Standard '!$C22="","",'[1]367 Community DI with Standard '!E22)</f>
        <v/>
      </c>
      <c r="F22" s="75" t="str">
        <f>IF('[1]367 Community DI with Standard '!$C22="","",'[1]367 Community DI with Standard '!F22)</f>
        <v/>
      </c>
      <c r="G22" s="75" t="str">
        <f>IF('[1]367 Community DI with Standard '!$C22="","",'[1]367 Community DI with Standard '!G22)</f>
        <v/>
      </c>
      <c r="H22" s="75" t="str">
        <f>IF('[1]367 Community DI with Standard '!$C22="","",'[1]367 Community DI with Standard '!H22)</f>
        <v/>
      </c>
      <c r="I22" s="63" t="str">
        <f t="shared" si="4"/>
        <v/>
      </c>
      <c r="J22" s="63" t="str">
        <f t="shared" si="1"/>
        <v/>
      </c>
      <c r="K22" s="63" t="str">
        <f t="shared" si="2"/>
        <v/>
      </c>
      <c r="L22" s="66" t="str">
        <f t="shared" si="0"/>
        <v/>
      </c>
      <c r="M22" s="66" t="str">
        <f t="shared" si="3"/>
        <v/>
      </c>
      <c r="N22" s="64"/>
      <c r="O22" s="64"/>
    </row>
    <row r="23" spans="1:15" s="65" customFormat="1" ht="16" hidden="1" customHeight="1">
      <c r="A23" s="62"/>
      <c r="B23" s="75" t="str">
        <f>IF('[1]367 Community DI with Standard '!B23=0,"",'[1]367 Community DI with Standard '!B23)</f>
        <v/>
      </c>
      <c r="C23" s="75" t="str">
        <f>IF('[1]367 Community DI with Standard '!C23=0,"",'[1]367 Community DI with Standard '!C23)</f>
        <v/>
      </c>
      <c r="D23" s="75" t="str">
        <f>IF('[1]367 Community DI with Standard '!$C23="","",'[1]367 Community DI with Standard '!D23)</f>
        <v/>
      </c>
      <c r="E23" s="75" t="str">
        <f>IF('[1]367 Community DI with Standard '!$C23="","",'[1]367 Community DI with Standard '!E23)</f>
        <v/>
      </c>
      <c r="F23" s="75" t="str">
        <f>IF('[1]367 Community DI with Standard '!$C23="","",'[1]367 Community DI with Standard '!F23)</f>
        <v/>
      </c>
      <c r="G23" s="75" t="str">
        <f>IF('[1]367 Community DI with Standard '!$C23="","",'[1]367 Community DI with Standard '!G23)</f>
        <v/>
      </c>
      <c r="H23" s="75" t="str">
        <f>IF('[1]367 Community DI with Standard '!$C23="","",'[1]367 Community DI with Standard '!H23)</f>
        <v/>
      </c>
      <c r="I23" s="63" t="str">
        <f t="shared" si="4"/>
        <v/>
      </c>
      <c r="J23" s="63" t="str">
        <f t="shared" si="1"/>
        <v/>
      </c>
      <c r="K23" s="63" t="str">
        <f t="shared" si="2"/>
        <v/>
      </c>
      <c r="L23" s="66" t="str">
        <f t="shared" si="0"/>
        <v/>
      </c>
      <c r="M23" s="66" t="str">
        <f t="shared" si="3"/>
        <v/>
      </c>
      <c r="N23" s="64"/>
      <c r="O23" s="64"/>
    </row>
    <row r="24" spans="1:15" s="65" customFormat="1" ht="16" hidden="1" customHeight="1">
      <c r="A24" s="62"/>
      <c r="B24" s="75" t="str">
        <f>IF('[1]367 Community DI with Standard '!B24=0,"",'[1]367 Community DI with Standard '!B24)</f>
        <v/>
      </c>
      <c r="C24" s="75" t="str">
        <f>IF('[1]367 Community DI with Standard '!C24=0,"",'[1]367 Community DI with Standard '!C24)</f>
        <v/>
      </c>
      <c r="D24" s="75" t="str">
        <f>IF('[1]367 Community DI with Standard '!$C24="","",'[1]367 Community DI with Standard '!D24)</f>
        <v/>
      </c>
      <c r="E24" s="75" t="str">
        <f>IF('[1]367 Community DI with Standard '!$C24="","",'[1]367 Community DI with Standard '!E24)</f>
        <v/>
      </c>
      <c r="F24" s="75" t="str">
        <f>IF('[1]367 Community DI with Standard '!$C24="","",'[1]367 Community DI with Standard '!F24)</f>
        <v/>
      </c>
      <c r="G24" s="75" t="str">
        <f>IF('[1]367 Community DI with Standard '!$C24="","",'[1]367 Community DI with Standard '!G24)</f>
        <v/>
      </c>
      <c r="H24" s="75" t="str">
        <f>IF('[1]367 Community DI with Standard '!$C24="","",'[1]367 Community DI with Standard '!H24)</f>
        <v/>
      </c>
      <c r="I24" s="63" t="str">
        <f t="shared" si="4"/>
        <v/>
      </c>
      <c r="J24" s="63" t="str">
        <f t="shared" si="1"/>
        <v/>
      </c>
      <c r="K24" s="63" t="str">
        <f t="shared" si="2"/>
        <v/>
      </c>
      <c r="L24" s="66" t="str">
        <f t="shared" si="0"/>
        <v/>
      </c>
      <c r="M24" s="66" t="str">
        <f t="shared" si="3"/>
        <v/>
      </c>
      <c r="N24" s="64"/>
      <c r="O24" s="64"/>
    </row>
    <row r="25" spans="1:15" s="65" customFormat="1" ht="16" hidden="1" customHeight="1">
      <c r="A25" s="62"/>
      <c r="B25" s="75" t="str">
        <f>IF('[1]367 Community DI with Standard '!B25=0,"",'[1]367 Community DI with Standard '!B25)</f>
        <v/>
      </c>
      <c r="C25" s="75" t="str">
        <f>IF('[1]367 Community DI with Standard '!C25=0,"",'[1]367 Community DI with Standard '!C25)</f>
        <v/>
      </c>
      <c r="D25" s="75" t="str">
        <f>IF('[1]367 Community DI with Standard '!$C25="","",'[1]367 Community DI with Standard '!D25)</f>
        <v/>
      </c>
      <c r="E25" s="75" t="str">
        <f>IF('[1]367 Community DI with Standard '!$C25="","",'[1]367 Community DI with Standard '!E25)</f>
        <v/>
      </c>
      <c r="F25" s="75" t="str">
        <f>IF('[1]367 Community DI with Standard '!$C25="","",'[1]367 Community DI with Standard '!F25)</f>
        <v/>
      </c>
      <c r="G25" s="75" t="str">
        <f>IF('[1]367 Community DI with Standard '!$C25="","",'[1]367 Community DI with Standard '!G25)</f>
        <v/>
      </c>
      <c r="H25" s="75" t="str">
        <f>IF('[1]367 Community DI with Standard '!$C25="","",'[1]367 Community DI with Standard '!H25)</f>
        <v/>
      </c>
      <c r="I25" s="63" t="str">
        <f t="shared" si="4"/>
        <v/>
      </c>
      <c r="J25" s="63" t="str">
        <f t="shared" si="1"/>
        <v/>
      </c>
      <c r="K25" s="63" t="str">
        <f t="shared" si="2"/>
        <v/>
      </c>
      <c r="L25" s="66" t="str">
        <f t="shared" si="0"/>
        <v/>
      </c>
      <c r="M25" s="66" t="str">
        <f t="shared" si="3"/>
        <v/>
      </c>
      <c r="N25" s="64"/>
      <c r="O25" s="64"/>
    </row>
    <row r="26" spans="1:15" s="65" customFormat="1" ht="16" hidden="1" customHeight="1">
      <c r="A26" s="62"/>
      <c r="B26" s="75" t="str">
        <f>IF('[1]367 Community DI with Standard '!B26=0,"",'[1]367 Community DI with Standard '!B26)</f>
        <v/>
      </c>
      <c r="C26" s="75" t="str">
        <f>IF('[1]367 Community DI with Standard '!C26=0,"",'[1]367 Community DI with Standard '!C26)</f>
        <v/>
      </c>
      <c r="D26" s="75" t="str">
        <f>IF('[1]367 Community DI with Standard '!$C26="","",'[1]367 Community DI with Standard '!D26)</f>
        <v/>
      </c>
      <c r="E26" s="75" t="str">
        <f>IF('[1]367 Community DI with Standard '!$C26="","",'[1]367 Community DI with Standard '!E26)</f>
        <v/>
      </c>
      <c r="F26" s="75" t="str">
        <f>IF('[1]367 Community DI with Standard '!$C26="","",'[1]367 Community DI with Standard '!F26)</f>
        <v/>
      </c>
      <c r="G26" s="75" t="str">
        <f>IF('[1]367 Community DI with Standard '!$C26="","",'[1]367 Community DI with Standard '!G26)</f>
        <v/>
      </c>
      <c r="H26" s="75" t="str">
        <f>IF('[1]367 Community DI with Standard '!$C26="","",'[1]367 Community DI with Standard '!H26)</f>
        <v/>
      </c>
      <c r="I26" s="63" t="str">
        <f t="shared" si="4"/>
        <v/>
      </c>
      <c r="J26" s="63" t="str">
        <f t="shared" si="1"/>
        <v/>
      </c>
      <c r="K26" s="63" t="str">
        <f t="shared" si="2"/>
        <v/>
      </c>
      <c r="L26" s="66" t="str">
        <f t="shared" si="0"/>
        <v/>
      </c>
      <c r="M26" s="66" t="str">
        <f t="shared" si="3"/>
        <v/>
      </c>
      <c r="N26" s="64"/>
      <c r="O26" s="64"/>
    </row>
    <row r="27" spans="1:15" s="65" customFormat="1" ht="16" hidden="1" customHeight="1">
      <c r="A27" s="62"/>
      <c r="B27" s="75" t="str">
        <f>IF('[1]367 Community DI with Standard '!B27=0,"",'[1]367 Community DI with Standard '!B27)</f>
        <v/>
      </c>
      <c r="C27" s="75" t="str">
        <f>IF('[1]367 Community DI with Standard '!C27=0,"",'[1]367 Community DI with Standard '!C27)</f>
        <v/>
      </c>
      <c r="D27" s="75" t="str">
        <f>IF('[1]367 Community DI with Standard '!$C27="","",'[1]367 Community DI with Standard '!D27)</f>
        <v/>
      </c>
      <c r="E27" s="75" t="str">
        <f>IF('[1]367 Community DI with Standard '!$C27="","",'[1]367 Community DI with Standard '!E27)</f>
        <v/>
      </c>
      <c r="F27" s="75" t="str">
        <f>IF('[1]367 Community DI with Standard '!$C27="","",'[1]367 Community DI with Standard '!F27)</f>
        <v/>
      </c>
      <c r="G27" s="75" t="str">
        <f>IF('[1]367 Community DI with Standard '!$C27="","",'[1]367 Community DI with Standard '!G27)</f>
        <v/>
      </c>
      <c r="H27" s="75" t="str">
        <f>IF('[1]367 Community DI with Standard '!$C27="","",'[1]367 Community DI with Standard '!H27)</f>
        <v/>
      </c>
      <c r="I27" s="63" t="str">
        <f t="shared" si="4"/>
        <v/>
      </c>
      <c r="J27" s="63" t="str">
        <f t="shared" si="1"/>
        <v/>
      </c>
      <c r="K27" s="63" t="str">
        <f t="shared" si="2"/>
        <v/>
      </c>
      <c r="L27" s="66" t="str">
        <f t="shared" si="0"/>
        <v/>
      </c>
      <c r="M27" s="66" t="str">
        <f t="shared" si="3"/>
        <v/>
      </c>
      <c r="N27" s="64"/>
      <c r="O27" s="64"/>
    </row>
    <row r="28" spans="1:15" s="65" customFormat="1" ht="16" hidden="1" customHeight="1">
      <c r="A28" s="62"/>
      <c r="B28" s="75" t="str">
        <f>IF('[1]367 Community DI with Standard '!B28=0,"",'[1]367 Community DI with Standard '!B28)</f>
        <v/>
      </c>
      <c r="C28" s="75" t="str">
        <f>IF('[1]367 Community DI with Standard '!C28=0,"",'[1]367 Community DI with Standard '!C28)</f>
        <v/>
      </c>
      <c r="D28" s="75" t="str">
        <f>IF('[1]367 Community DI with Standard '!$C28="","",'[1]367 Community DI with Standard '!D28)</f>
        <v/>
      </c>
      <c r="E28" s="75" t="str">
        <f>IF('[1]367 Community DI with Standard '!$C28="","",'[1]367 Community DI with Standard '!E28)</f>
        <v/>
      </c>
      <c r="F28" s="75" t="str">
        <f>IF('[1]367 Community DI with Standard '!$C28="","",'[1]367 Community DI with Standard '!F28)</f>
        <v/>
      </c>
      <c r="G28" s="75" t="str">
        <f>IF('[1]367 Community DI with Standard '!$C28="","",'[1]367 Community DI with Standard '!G28)</f>
        <v/>
      </c>
      <c r="H28" s="75" t="str">
        <f>IF('[1]367 Community DI with Standard '!$C28="","",'[1]367 Community DI with Standard '!H28)</f>
        <v/>
      </c>
      <c r="I28" s="63" t="str">
        <f t="shared" si="4"/>
        <v/>
      </c>
      <c r="J28" s="63" t="str">
        <f t="shared" si="1"/>
        <v/>
      </c>
      <c r="K28" s="63" t="str">
        <f t="shared" si="2"/>
        <v/>
      </c>
      <c r="L28" s="66" t="str">
        <f t="shared" si="0"/>
        <v/>
      </c>
      <c r="M28" s="66" t="str">
        <f t="shared" si="3"/>
        <v/>
      </c>
      <c r="N28" s="64"/>
      <c r="O28" s="64"/>
    </row>
    <row r="29" spans="1:15" s="65" customFormat="1" ht="16" hidden="1" customHeight="1">
      <c r="A29" s="62"/>
      <c r="B29" s="75" t="str">
        <f>IF('[1]367 Community DI with Standard '!B29=0,"",'[1]367 Community DI with Standard '!B29)</f>
        <v/>
      </c>
      <c r="C29" s="75" t="str">
        <f>IF('[1]367 Community DI with Standard '!C29=0,"",'[1]367 Community DI with Standard '!C29)</f>
        <v/>
      </c>
      <c r="D29" s="75" t="str">
        <f>IF('[1]367 Community DI with Standard '!$C29="","",'[1]367 Community DI with Standard '!D29)</f>
        <v/>
      </c>
      <c r="E29" s="75" t="str">
        <f>IF('[1]367 Community DI with Standard '!$C29="","",'[1]367 Community DI with Standard '!E29)</f>
        <v/>
      </c>
      <c r="F29" s="75" t="str">
        <f>IF('[1]367 Community DI with Standard '!$C29="","",'[1]367 Community DI with Standard '!F29)</f>
        <v/>
      </c>
      <c r="G29" s="75" t="str">
        <f>IF('[1]367 Community DI with Standard '!$C29="","",'[1]367 Community DI with Standard '!G29)</f>
        <v/>
      </c>
      <c r="H29" s="75" t="str">
        <f>IF('[1]367 Community DI with Standard '!$C29="","",'[1]367 Community DI with Standard '!H29)</f>
        <v/>
      </c>
      <c r="I29" s="63" t="str">
        <f t="shared" si="4"/>
        <v/>
      </c>
      <c r="J29" s="63" t="str">
        <f t="shared" si="1"/>
        <v/>
      </c>
      <c r="K29" s="63" t="str">
        <f t="shared" si="2"/>
        <v/>
      </c>
      <c r="L29" s="66" t="str">
        <f t="shared" ref="L29:L92" si="5">IF(D29="","",($D29-G29)/E29)</f>
        <v/>
      </c>
      <c r="M29" s="66" t="str">
        <f t="shared" si="3"/>
        <v/>
      </c>
      <c r="N29" s="64"/>
      <c r="O29" s="64"/>
    </row>
    <row r="30" spans="1:15" s="65" customFormat="1" ht="16" hidden="1" customHeight="1">
      <c r="A30" s="62"/>
      <c r="B30" s="75" t="str">
        <f>IF('[1]367 Community DI with Standard '!B30=0,"",'[1]367 Community DI with Standard '!B30)</f>
        <v/>
      </c>
      <c r="C30" s="75" t="str">
        <f>IF('[1]367 Community DI with Standard '!C30=0,"",'[1]367 Community DI with Standard '!C30)</f>
        <v/>
      </c>
      <c r="D30" s="75" t="str">
        <f>IF('[1]367 Community DI with Standard '!$C30="","",'[1]367 Community DI with Standard '!D30)</f>
        <v/>
      </c>
      <c r="E30" s="75" t="str">
        <f>IF('[1]367 Community DI with Standard '!$C30="","",'[1]367 Community DI with Standard '!E30)</f>
        <v/>
      </c>
      <c r="F30" s="75" t="str">
        <f>IF('[1]367 Community DI with Standard '!$C30="","",'[1]367 Community DI with Standard '!F30)</f>
        <v/>
      </c>
      <c r="G30" s="75" t="str">
        <f>IF('[1]367 Community DI with Standard '!$C30="","",'[1]367 Community DI with Standard '!G30)</f>
        <v/>
      </c>
      <c r="H30" s="75" t="str">
        <f>IF('[1]367 Community DI with Standard '!$C30="","",'[1]367 Community DI with Standard '!H30)</f>
        <v/>
      </c>
      <c r="I30" s="63" t="str">
        <f t="shared" si="4"/>
        <v/>
      </c>
      <c r="J30" s="63" t="str">
        <f t="shared" si="1"/>
        <v/>
      </c>
      <c r="K30" s="63" t="str">
        <f t="shared" si="2"/>
        <v/>
      </c>
      <c r="L30" s="66" t="str">
        <f t="shared" si="5"/>
        <v/>
      </c>
      <c r="M30" s="66" t="str">
        <f t="shared" si="3"/>
        <v/>
      </c>
      <c r="N30" s="64"/>
      <c r="O30" s="64"/>
    </row>
    <row r="31" spans="1:15" s="65" customFormat="1" ht="16" hidden="1" customHeight="1">
      <c r="A31" s="62"/>
      <c r="B31" s="75" t="str">
        <f>IF('[1]367 Community DI with Standard '!B31=0,"",'[1]367 Community DI with Standard '!B31)</f>
        <v/>
      </c>
      <c r="C31" s="75" t="str">
        <f>IF('[1]367 Community DI with Standard '!C31=0,"",'[1]367 Community DI with Standard '!C31)</f>
        <v/>
      </c>
      <c r="D31" s="75" t="str">
        <f>IF('[1]367 Community DI with Standard '!$C31="","",'[1]367 Community DI with Standard '!D31)</f>
        <v/>
      </c>
      <c r="E31" s="75" t="str">
        <f>IF('[1]367 Community DI with Standard '!$C31="","",'[1]367 Community DI with Standard '!E31)</f>
        <v/>
      </c>
      <c r="F31" s="75" t="str">
        <f>IF('[1]367 Community DI with Standard '!$C31="","",'[1]367 Community DI with Standard '!F31)</f>
        <v/>
      </c>
      <c r="G31" s="75" t="str">
        <f>IF('[1]367 Community DI with Standard '!$C31="","",'[1]367 Community DI with Standard '!G31)</f>
        <v/>
      </c>
      <c r="H31" s="75" t="str">
        <f>IF('[1]367 Community DI with Standard '!$C31="","",'[1]367 Community DI with Standard '!H31)</f>
        <v/>
      </c>
      <c r="I31" s="63" t="str">
        <f t="shared" si="4"/>
        <v/>
      </c>
      <c r="J31" s="63" t="str">
        <f t="shared" si="1"/>
        <v/>
      </c>
      <c r="K31" s="63" t="str">
        <f t="shared" si="2"/>
        <v/>
      </c>
      <c r="L31" s="66" t="str">
        <f t="shared" si="5"/>
        <v/>
      </c>
      <c r="M31" s="66" t="str">
        <f t="shared" si="3"/>
        <v/>
      </c>
      <c r="N31" s="64"/>
      <c r="O31" s="64"/>
    </row>
    <row r="32" spans="1:15" s="65" customFormat="1" ht="16" hidden="1" customHeight="1">
      <c r="A32" s="62"/>
      <c r="B32" s="75" t="str">
        <f>IF('[1]367 Community DI with Standard '!B32=0,"",'[1]367 Community DI with Standard '!B32)</f>
        <v/>
      </c>
      <c r="C32" s="75" t="str">
        <f>IF('[1]367 Community DI with Standard '!C32=0,"",'[1]367 Community DI with Standard '!C32)</f>
        <v/>
      </c>
      <c r="D32" s="75" t="str">
        <f>IF('[1]367 Community DI with Standard '!$C32="","",'[1]367 Community DI with Standard '!D32)</f>
        <v/>
      </c>
      <c r="E32" s="75" t="str">
        <f>IF('[1]367 Community DI with Standard '!$C32="","",'[1]367 Community DI with Standard '!E32)</f>
        <v/>
      </c>
      <c r="F32" s="75" t="str">
        <f>IF('[1]367 Community DI with Standard '!$C32="","",'[1]367 Community DI with Standard '!F32)</f>
        <v/>
      </c>
      <c r="G32" s="75" t="str">
        <f>IF('[1]367 Community DI with Standard '!$C32="","",'[1]367 Community DI with Standard '!G32)</f>
        <v/>
      </c>
      <c r="H32" s="75" t="str">
        <f>IF('[1]367 Community DI with Standard '!$C32="","",'[1]367 Community DI with Standard '!H32)</f>
        <v/>
      </c>
      <c r="I32" s="63" t="str">
        <f t="shared" si="4"/>
        <v/>
      </c>
      <c r="J32" s="63" t="str">
        <f t="shared" si="1"/>
        <v/>
      </c>
      <c r="K32" s="63" t="str">
        <f t="shared" si="2"/>
        <v/>
      </c>
      <c r="L32" s="66" t="str">
        <f t="shared" si="5"/>
        <v/>
      </c>
      <c r="M32" s="66" t="str">
        <f t="shared" si="3"/>
        <v/>
      </c>
      <c r="N32" s="64"/>
      <c r="O32" s="64"/>
    </row>
    <row r="33" spans="1:15" s="65" customFormat="1" ht="16" hidden="1" customHeight="1">
      <c r="A33" s="62"/>
      <c r="B33" s="75" t="str">
        <f>IF('[1]367 Community DI with Standard '!B33=0,"",'[1]367 Community DI with Standard '!B33)</f>
        <v/>
      </c>
      <c r="C33" s="75" t="str">
        <f>IF('[1]367 Community DI with Standard '!C33=0,"",'[1]367 Community DI with Standard '!C33)</f>
        <v/>
      </c>
      <c r="D33" s="75" t="str">
        <f>IF('[1]367 Community DI with Standard '!$C33="","",'[1]367 Community DI with Standard '!D33)</f>
        <v/>
      </c>
      <c r="E33" s="75" t="str">
        <f>IF('[1]367 Community DI with Standard '!$C33="","",'[1]367 Community DI with Standard '!E33)</f>
        <v/>
      </c>
      <c r="F33" s="75" t="str">
        <f>IF('[1]367 Community DI with Standard '!$C33="","",'[1]367 Community DI with Standard '!F33)</f>
        <v/>
      </c>
      <c r="G33" s="75" t="str">
        <f>IF('[1]367 Community DI with Standard '!$C33="","",'[1]367 Community DI with Standard '!G33)</f>
        <v/>
      </c>
      <c r="H33" s="75" t="str">
        <f>IF('[1]367 Community DI with Standard '!$C33="","",'[1]367 Community DI with Standard '!H33)</f>
        <v/>
      </c>
      <c r="I33" s="63" t="str">
        <f t="shared" si="4"/>
        <v/>
      </c>
      <c r="J33" s="63" t="str">
        <f t="shared" si="1"/>
        <v/>
      </c>
      <c r="K33" s="63" t="str">
        <f t="shared" si="2"/>
        <v/>
      </c>
      <c r="L33" s="66" t="str">
        <f t="shared" si="5"/>
        <v/>
      </c>
      <c r="M33" s="66" t="str">
        <f t="shared" si="3"/>
        <v/>
      </c>
      <c r="N33" s="64"/>
      <c r="O33" s="64"/>
    </row>
    <row r="34" spans="1:15" s="65" customFormat="1" ht="16" hidden="1" customHeight="1">
      <c r="A34" s="62"/>
      <c r="B34" s="75" t="str">
        <f>IF('[1]367 Community DI with Standard '!B34=0,"",'[1]367 Community DI with Standard '!B34)</f>
        <v/>
      </c>
      <c r="C34" s="75" t="str">
        <f>IF('[1]367 Community DI with Standard '!C34=0,"",'[1]367 Community DI with Standard '!C34)</f>
        <v/>
      </c>
      <c r="D34" s="75" t="str">
        <f>IF('[1]367 Community DI with Standard '!$C34="","",'[1]367 Community DI with Standard '!D34)</f>
        <v/>
      </c>
      <c r="E34" s="75" t="str">
        <f>IF('[1]367 Community DI with Standard '!$C34="","",'[1]367 Community DI with Standard '!E34)</f>
        <v/>
      </c>
      <c r="F34" s="75" t="str">
        <f>IF('[1]367 Community DI with Standard '!$C34="","",'[1]367 Community DI with Standard '!F34)</f>
        <v/>
      </c>
      <c r="G34" s="75" t="str">
        <f>IF('[1]367 Community DI with Standard '!$C34="","",'[1]367 Community DI with Standard '!G34)</f>
        <v/>
      </c>
      <c r="H34" s="75" t="str">
        <f>IF('[1]367 Community DI with Standard '!$C34="","",'[1]367 Community DI with Standard '!H34)</f>
        <v/>
      </c>
      <c r="I34" s="63" t="str">
        <f t="shared" si="4"/>
        <v/>
      </c>
      <c r="J34" s="63" t="str">
        <f t="shared" si="1"/>
        <v/>
      </c>
      <c r="K34" s="63" t="str">
        <f t="shared" si="2"/>
        <v/>
      </c>
      <c r="L34" s="66" t="str">
        <f t="shared" si="5"/>
        <v/>
      </c>
      <c r="M34" s="66" t="str">
        <f t="shared" si="3"/>
        <v/>
      </c>
      <c r="N34" s="64"/>
      <c r="O34" s="64"/>
    </row>
    <row r="35" spans="1:15" s="65" customFormat="1" ht="16" hidden="1" customHeight="1">
      <c r="A35" s="62"/>
      <c r="B35" s="75" t="str">
        <f>IF('[1]367 Community DI with Standard '!B35=0,"",'[1]367 Community DI with Standard '!B35)</f>
        <v/>
      </c>
      <c r="C35" s="75" t="str">
        <f>IF('[1]367 Community DI with Standard '!C35=0,"",'[1]367 Community DI with Standard '!C35)</f>
        <v/>
      </c>
      <c r="D35" s="75" t="str">
        <f>IF('[1]367 Community DI with Standard '!$C35="","",'[1]367 Community DI with Standard '!D35)</f>
        <v/>
      </c>
      <c r="E35" s="75" t="str">
        <f>IF('[1]367 Community DI with Standard '!$C35="","",'[1]367 Community DI with Standard '!E35)</f>
        <v/>
      </c>
      <c r="F35" s="75" t="str">
        <f>IF('[1]367 Community DI with Standard '!$C35="","",'[1]367 Community DI with Standard '!F35)</f>
        <v/>
      </c>
      <c r="G35" s="75" t="str">
        <f>IF('[1]367 Community DI with Standard '!$C35="","",'[1]367 Community DI with Standard '!G35)</f>
        <v/>
      </c>
      <c r="H35" s="75" t="str">
        <f>IF('[1]367 Community DI with Standard '!$C35="","",'[1]367 Community DI with Standard '!H35)</f>
        <v/>
      </c>
      <c r="I35" s="63" t="str">
        <f t="shared" si="4"/>
        <v/>
      </c>
      <c r="J35" s="63" t="str">
        <f t="shared" si="1"/>
        <v/>
      </c>
      <c r="K35" s="63" t="str">
        <f t="shared" si="2"/>
        <v/>
      </c>
      <c r="L35" s="66" t="str">
        <f t="shared" si="5"/>
        <v/>
      </c>
      <c r="M35" s="66" t="str">
        <f t="shared" si="3"/>
        <v/>
      </c>
      <c r="N35" s="64"/>
      <c r="O35" s="64"/>
    </row>
    <row r="36" spans="1:15" s="65" customFormat="1" ht="16" hidden="1" customHeight="1">
      <c r="A36" s="62"/>
      <c r="B36" s="75" t="str">
        <f>IF('[1]367 Community DI with Standard '!B36=0,"",'[1]367 Community DI with Standard '!B36)</f>
        <v/>
      </c>
      <c r="C36" s="75" t="str">
        <f>IF('[1]367 Community DI with Standard '!C36=0,"",'[1]367 Community DI with Standard '!C36)</f>
        <v/>
      </c>
      <c r="D36" s="75" t="str">
        <f>IF('[1]367 Community DI with Standard '!$C36="","",'[1]367 Community DI with Standard '!D36)</f>
        <v/>
      </c>
      <c r="E36" s="75" t="str">
        <f>IF('[1]367 Community DI with Standard '!$C36="","",'[1]367 Community DI with Standard '!E36)</f>
        <v/>
      </c>
      <c r="F36" s="75" t="str">
        <f>IF('[1]367 Community DI with Standard '!$C36="","",'[1]367 Community DI with Standard '!F36)</f>
        <v/>
      </c>
      <c r="G36" s="75" t="str">
        <f>IF('[1]367 Community DI with Standard '!$C36="","",'[1]367 Community DI with Standard '!G36)</f>
        <v/>
      </c>
      <c r="H36" s="75" t="str">
        <f>IF('[1]367 Community DI with Standard '!$C36="","",'[1]367 Community DI with Standard '!H36)</f>
        <v/>
      </c>
      <c r="I36" s="63" t="str">
        <f t="shared" si="4"/>
        <v/>
      </c>
      <c r="J36" s="63" t="str">
        <f t="shared" si="1"/>
        <v/>
      </c>
      <c r="K36" s="63" t="str">
        <f t="shared" si="2"/>
        <v/>
      </c>
      <c r="L36" s="66" t="str">
        <f t="shared" si="5"/>
        <v/>
      </c>
      <c r="M36" s="66" t="str">
        <f t="shared" si="3"/>
        <v/>
      </c>
      <c r="N36" s="64"/>
      <c r="O36" s="64"/>
    </row>
    <row r="37" spans="1:15" s="65" customFormat="1" ht="16" hidden="1" customHeight="1">
      <c r="A37" s="62"/>
      <c r="B37" s="75" t="str">
        <f>IF('[1]367 Community DI with Standard '!B37=0,"",'[1]367 Community DI with Standard '!B37)</f>
        <v/>
      </c>
      <c r="C37" s="75" t="str">
        <f>IF('[1]367 Community DI with Standard '!C37=0,"",'[1]367 Community DI with Standard '!C37)</f>
        <v/>
      </c>
      <c r="D37" s="75" t="str">
        <f>IF('[1]367 Community DI with Standard '!$C37="","",'[1]367 Community DI with Standard '!D37)</f>
        <v/>
      </c>
      <c r="E37" s="75" t="str">
        <f>IF('[1]367 Community DI with Standard '!$C37="","",'[1]367 Community DI with Standard '!E37)</f>
        <v/>
      </c>
      <c r="F37" s="75" t="str">
        <f>IF('[1]367 Community DI with Standard '!$C37="","",'[1]367 Community DI with Standard '!F37)</f>
        <v/>
      </c>
      <c r="G37" s="75" t="str">
        <f>IF('[1]367 Community DI with Standard '!$C37="","",'[1]367 Community DI with Standard '!G37)</f>
        <v/>
      </c>
      <c r="H37" s="75" t="str">
        <f>IF('[1]367 Community DI with Standard '!$C37="","",'[1]367 Community DI with Standard '!H37)</f>
        <v/>
      </c>
      <c r="I37" s="63" t="str">
        <f t="shared" si="4"/>
        <v/>
      </c>
      <c r="J37" s="63" t="str">
        <f t="shared" si="1"/>
        <v/>
      </c>
      <c r="K37" s="63" t="str">
        <f t="shared" si="2"/>
        <v/>
      </c>
      <c r="L37" s="66" t="str">
        <f t="shared" si="5"/>
        <v/>
      </c>
      <c r="M37" s="66" t="str">
        <f t="shared" si="3"/>
        <v/>
      </c>
      <c r="N37" s="64"/>
      <c r="O37" s="64"/>
    </row>
    <row r="38" spans="1:15" s="65" customFormat="1" ht="16" hidden="1" customHeight="1">
      <c r="A38" s="62"/>
      <c r="B38" s="75" t="str">
        <f>IF('[1]367 Community DI with Standard '!B38=0,"",'[1]367 Community DI with Standard '!B38)</f>
        <v/>
      </c>
      <c r="C38" s="75" t="str">
        <f>IF('[1]367 Community DI with Standard '!C38=0,"",'[1]367 Community DI with Standard '!C38)</f>
        <v/>
      </c>
      <c r="D38" s="75" t="str">
        <f>IF('[1]367 Community DI with Standard '!$C38="","",'[1]367 Community DI with Standard '!D38)</f>
        <v/>
      </c>
      <c r="E38" s="75" t="str">
        <f>IF('[1]367 Community DI with Standard '!$C38="","",'[1]367 Community DI with Standard '!E38)</f>
        <v/>
      </c>
      <c r="F38" s="75" t="str">
        <f>IF('[1]367 Community DI with Standard '!$C38="","",'[1]367 Community DI with Standard '!F38)</f>
        <v/>
      </c>
      <c r="G38" s="75" t="str">
        <f>IF('[1]367 Community DI with Standard '!$C38="","",'[1]367 Community DI with Standard '!G38)</f>
        <v/>
      </c>
      <c r="H38" s="75" t="str">
        <f>IF('[1]367 Community DI with Standard '!$C38="","",'[1]367 Community DI with Standard '!H38)</f>
        <v/>
      </c>
      <c r="I38" s="63" t="str">
        <f t="shared" si="4"/>
        <v/>
      </c>
      <c r="J38" s="63" t="str">
        <f t="shared" si="1"/>
        <v/>
      </c>
      <c r="K38" s="63" t="str">
        <f t="shared" si="2"/>
        <v/>
      </c>
      <c r="L38" s="66" t="str">
        <f t="shared" si="5"/>
        <v/>
      </c>
      <c r="M38" s="66" t="str">
        <f t="shared" si="3"/>
        <v/>
      </c>
      <c r="N38" s="64"/>
      <c r="O38" s="64"/>
    </row>
    <row r="39" spans="1:15" s="65" customFormat="1" ht="16" hidden="1" customHeight="1">
      <c r="A39" s="62"/>
      <c r="B39" s="75" t="str">
        <f>IF('[1]367 Community DI with Standard '!B39=0,"",'[1]367 Community DI with Standard '!B39)</f>
        <v/>
      </c>
      <c r="C39" s="75" t="str">
        <f>IF('[1]367 Community DI with Standard '!C39=0,"",'[1]367 Community DI with Standard '!C39)</f>
        <v/>
      </c>
      <c r="D39" s="75" t="str">
        <f>IF('[1]367 Community DI with Standard '!$C39="","",'[1]367 Community DI with Standard '!D39)</f>
        <v/>
      </c>
      <c r="E39" s="75" t="str">
        <f>IF('[1]367 Community DI with Standard '!$C39="","",'[1]367 Community DI with Standard '!E39)</f>
        <v/>
      </c>
      <c r="F39" s="75" t="str">
        <f>IF('[1]367 Community DI with Standard '!$C39="","",'[1]367 Community DI with Standard '!F39)</f>
        <v/>
      </c>
      <c r="G39" s="75" t="str">
        <f>IF('[1]367 Community DI with Standard '!$C39="","",'[1]367 Community DI with Standard '!G39)</f>
        <v/>
      </c>
      <c r="H39" s="75" t="str">
        <f>IF('[1]367 Community DI with Standard '!$C39="","",'[1]367 Community DI with Standard '!H39)</f>
        <v/>
      </c>
      <c r="I39" s="63" t="str">
        <f t="shared" si="4"/>
        <v/>
      </c>
      <c r="J39" s="63" t="str">
        <f t="shared" si="1"/>
        <v/>
      </c>
      <c r="K39" s="63" t="str">
        <f t="shared" si="2"/>
        <v/>
      </c>
      <c r="L39" s="66" t="str">
        <f t="shared" si="5"/>
        <v/>
      </c>
      <c r="M39" s="66" t="str">
        <f t="shared" si="3"/>
        <v/>
      </c>
      <c r="N39" s="64"/>
      <c r="O39" s="64"/>
    </row>
    <row r="40" spans="1:15" s="65" customFormat="1" ht="16" hidden="1" customHeight="1">
      <c r="A40" s="62"/>
      <c r="B40" s="75" t="str">
        <f>IF('[1]367 Community DI with Standard '!B40=0,"",'[1]367 Community DI with Standard '!B40)</f>
        <v/>
      </c>
      <c r="C40" s="75" t="str">
        <f>IF('[1]367 Community DI with Standard '!C40=0,"",'[1]367 Community DI with Standard '!C40)</f>
        <v/>
      </c>
      <c r="D40" s="75" t="str">
        <f>IF('[1]367 Community DI with Standard '!$C40="","",'[1]367 Community DI with Standard '!D40)</f>
        <v/>
      </c>
      <c r="E40" s="75" t="str">
        <f>IF('[1]367 Community DI with Standard '!$C40="","",'[1]367 Community DI with Standard '!E40)</f>
        <v/>
      </c>
      <c r="F40" s="75" t="str">
        <f>IF('[1]367 Community DI with Standard '!$C40="","",'[1]367 Community DI with Standard '!F40)</f>
        <v/>
      </c>
      <c r="G40" s="75" t="str">
        <f>IF('[1]367 Community DI with Standard '!$C40="","",'[1]367 Community DI with Standard '!G40)</f>
        <v/>
      </c>
      <c r="H40" s="75" t="str">
        <f>IF('[1]367 Community DI with Standard '!$C40="","",'[1]367 Community DI with Standard '!H40)</f>
        <v/>
      </c>
      <c r="I40" s="63" t="str">
        <f t="shared" si="4"/>
        <v/>
      </c>
      <c r="J40" s="63" t="str">
        <f t="shared" si="1"/>
        <v/>
      </c>
      <c r="K40" s="63" t="str">
        <f t="shared" si="2"/>
        <v/>
      </c>
      <c r="L40" s="66" t="str">
        <f t="shared" si="5"/>
        <v/>
      </c>
      <c r="M40" s="66" t="str">
        <f t="shared" si="3"/>
        <v/>
      </c>
      <c r="N40" s="64"/>
      <c r="O40" s="64"/>
    </row>
    <row r="41" spans="1:15" s="65" customFormat="1" ht="16" hidden="1" customHeight="1">
      <c r="A41" s="62"/>
      <c r="B41" s="75" t="str">
        <f>IF('[1]367 Community DI with Standard '!B41=0,"",'[1]367 Community DI with Standard '!B41)</f>
        <v/>
      </c>
      <c r="C41" s="75" t="str">
        <f>IF('[1]367 Community DI with Standard '!C41=0,"",'[1]367 Community DI with Standard '!C41)</f>
        <v/>
      </c>
      <c r="D41" s="75" t="str">
        <f>IF('[1]367 Community DI with Standard '!$C41="","",'[1]367 Community DI with Standard '!D41)</f>
        <v/>
      </c>
      <c r="E41" s="75" t="str">
        <f>IF('[1]367 Community DI with Standard '!$C41="","",'[1]367 Community DI with Standard '!E41)</f>
        <v/>
      </c>
      <c r="F41" s="75" t="str">
        <f>IF('[1]367 Community DI with Standard '!$C41="","",'[1]367 Community DI with Standard '!F41)</f>
        <v/>
      </c>
      <c r="G41" s="75" t="str">
        <f>IF('[1]367 Community DI with Standard '!$C41="","",'[1]367 Community DI with Standard '!G41)</f>
        <v/>
      </c>
      <c r="H41" s="75" t="str">
        <f>IF('[1]367 Community DI with Standard '!$C41="","",'[1]367 Community DI with Standard '!H41)</f>
        <v/>
      </c>
      <c r="I41" s="63" t="str">
        <f t="shared" si="4"/>
        <v/>
      </c>
      <c r="J41" s="63" t="str">
        <f t="shared" si="1"/>
        <v/>
      </c>
      <c r="K41" s="63" t="str">
        <f t="shared" si="2"/>
        <v/>
      </c>
      <c r="L41" s="66" t="str">
        <f t="shared" si="5"/>
        <v/>
      </c>
      <c r="M41" s="66" t="str">
        <f t="shared" si="3"/>
        <v/>
      </c>
      <c r="N41" s="64"/>
      <c r="O41" s="64"/>
    </row>
    <row r="42" spans="1:15" s="65" customFormat="1" ht="16" hidden="1" customHeight="1">
      <c r="A42" s="62"/>
      <c r="B42" s="75" t="str">
        <f>IF('[1]367 Community DI with Standard '!B42=0,"",'[1]367 Community DI with Standard '!B42)</f>
        <v/>
      </c>
      <c r="C42" s="75" t="str">
        <f>IF('[1]367 Community DI with Standard '!C42=0,"",'[1]367 Community DI with Standard '!C42)</f>
        <v/>
      </c>
      <c r="D42" s="75" t="str">
        <f>IF('[1]367 Community DI with Standard '!$C42="","",'[1]367 Community DI with Standard '!D42)</f>
        <v/>
      </c>
      <c r="E42" s="75" t="str">
        <f>IF('[1]367 Community DI with Standard '!$C42="","",'[1]367 Community DI with Standard '!E42)</f>
        <v/>
      </c>
      <c r="F42" s="75" t="str">
        <f>IF('[1]367 Community DI with Standard '!$C42="","",'[1]367 Community DI with Standard '!F42)</f>
        <v/>
      </c>
      <c r="G42" s="75" t="str">
        <f>IF('[1]367 Community DI with Standard '!$C42="","",'[1]367 Community DI with Standard '!G42)</f>
        <v/>
      </c>
      <c r="H42" s="75" t="str">
        <f>IF('[1]367 Community DI with Standard '!$C42="","",'[1]367 Community DI with Standard '!H42)</f>
        <v/>
      </c>
      <c r="I42" s="63" t="str">
        <f t="shared" si="4"/>
        <v/>
      </c>
      <c r="J42" s="63" t="str">
        <f t="shared" si="1"/>
        <v/>
      </c>
      <c r="K42" s="63" t="str">
        <f t="shared" si="2"/>
        <v/>
      </c>
      <c r="L42" s="66" t="str">
        <f t="shared" si="5"/>
        <v/>
      </c>
      <c r="M42" s="66" t="str">
        <f t="shared" si="3"/>
        <v/>
      </c>
      <c r="N42" s="64"/>
      <c r="O42" s="64"/>
    </row>
    <row r="43" spans="1:15" s="65" customFormat="1" ht="16" hidden="1" customHeight="1">
      <c r="A43" s="62"/>
      <c r="B43" s="75" t="str">
        <f>IF('[1]367 Community DI with Standard '!B43=0,"",'[1]367 Community DI with Standard '!B43)</f>
        <v/>
      </c>
      <c r="C43" s="75" t="str">
        <f>IF('[1]367 Community DI with Standard '!C43=0,"",'[1]367 Community DI with Standard '!C43)</f>
        <v/>
      </c>
      <c r="D43" s="75" t="str">
        <f>IF('[1]367 Community DI with Standard '!$C43="","",'[1]367 Community DI with Standard '!D43)</f>
        <v/>
      </c>
      <c r="E43" s="75" t="str">
        <f>IF('[1]367 Community DI with Standard '!$C43="","",'[1]367 Community DI with Standard '!E43)</f>
        <v/>
      </c>
      <c r="F43" s="75" t="str">
        <f>IF('[1]367 Community DI with Standard '!$C43="","",'[1]367 Community DI with Standard '!F43)</f>
        <v/>
      </c>
      <c r="G43" s="75" t="str">
        <f>IF('[1]367 Community DI with Standard '!$C43="","",'[1]367 Community DI with Standard '!G43)</f>
        <v/>
      </c>
      <c r="H43" s="75" t="str">
        <f>IF('[1]367 Community DI with Standard '!$C43="","",'[1]367 Community DI with Standard '!H43)</f>
        <v/>
      </c>
      <c r="I43" s="63" t="str">
        <f t="shared" si="4"/>
        <v/>
      </c>
      <c r="J43" s="63" t="str">
        <f t="shared" si="1"/>
        <v/>
      </c>
      <c r="K43" s="63" t="str">
        <f t="shared" si="2"/>
        <v/>
      </c>
      <c r="L43" s="66" t="str">
        <f t="shared" si="5"/>
        <v/>
      </c>
      <c r="M43" s="66" t="str">
        <f t="shared" si="3"/>
        <v/>
      </c>
      <c r="N43" s="64"/>
      <c r="O43" s="64"/>
    </row>
    <row r="44" spans="1:15" s="65" customFormat="1" ht="16" hidden="1" customHeight="1">
      <c r="A44" s="62"/>
      <c r="B44" s="75" t="str">
        <f>IF('[1]367 Community DI with Standard '!B44=0,"",'[1]367 Community DI with Standard '!B44)</f>
        <v/>
      </c>
      <c r="C44" s="75" t="str">
        <f>IF('[1]367 Community DI with Standard '!C44=0,"",'[1]367 Community DI with Standard '!C44)</f>
        <v/>
      </c>
      <c r="D44" s="75" t="str">
        <f>IF('[1]367 Community DI with Standard '!$C44="","",'[1]367 Community DI with Standard '!D44)</f>
        <v/>
      </c>
      <c r="E44" s="75" t="str">
        <f>IF('[1]367 Community DI with Standard '!$C44="","",'[1]367 Community DI with Standard '!E44)</f>
        <v/>
      </c>
      <c r="F44" s="75" t="str">
        <f>IF('[1]367 Community DI with Standard '!$C44="","",'[1]367 Community DI with Standard '!F44)</f>
        <v/>
      </c>
      <c r="G44" s="75" t="str">
        <f>IF('[1]367 Community DI with Standard '!$C44="","",'[1]367 Community DI with Standard '!G44)</f>
        <v/>
      </c>
      <c r="H44" s="75" t="str">
        <f>IF('[1]367 Community DI with Standard '!$C44="","",'[1]367 Community DI with Standard '!H44)</f>
        <v/>
      </c>
      <c r="I44" s="63" t="str">
        <f t="shared" si="4"/>
        <v/>
      </c>
      <c r="J44" s="63" t="str">
        <f t="shared" si="1"/>
        <v/>
      </c>
      <c r="K44" s="63" t="str">
        <f t="shared" si="2"/>
        <v/>
      </c>
      <c r="L44" s="66" t="str">
        <f t="shared" si="5"/>
        <v/>
      </c>
      <c r="M44" s="66" t="str">
        <f t="shared" si="3"/>
        <v/>
      </c>
      <c r="N44" s="64"/>
      <c r="O44" s="64"/>
    </row>
    <row r="45" spans="1:15" s="65" customFormat="1" ht="16" hidden="1" customHeight="1">
      <c r="A45" s="62"/>
      <c r="B45" s="75" t="str">
        <f>IF('[1]367 Community DI with Standard '!B45=0,"",'[1]367 Community DI with Standard '!B45)</f>
        <v/>
      </c>
      <c r="C45" s="75" t="str">
        <f>IF('[1]367 Community DI with Standard '!C45=0,"",'[1]367 Community DI with Standard '!C45)</f>
        <v/>
      </c>
      <c r="D45" s="75" t="str">
        <f>IF('[1]367 Community DI with Standard '!$C45="","",'[1]367 Community DI with Standard '!D45)</f>
        <v/>
      </c>
      <c r="E45" s="75" t="str">
        <f>IF('[1]367 Community DI with Standard '!$C45="","",'[1]367 Community DI with Standard '!E45)</f>
        <v/>
      </c>
      <c r="F45" s="75" t="str">
        <f>IF('[1]367 Community DI with Standard '!$C45="","",'[1]367 Community DI with Standard '!F45)</f>
        <v/>
      </c>
      <c r="G45" s="75" t="str">
        <f>IF('[1]367 Community DI with Standard '!$C45="","",'[1]367 Community DI with Standard '!G45)</f>
        <v/>
      </c>
      <c r="H45" s="75" t="str">
        <f>IF('[1]367 Community DI with Standard '!$C45="","",'[1]367 Community DI with Standard '!H45)</f>
        <v/>
      </c>
      <c r="I45" s="63" t="str">
        <f t="shared" si="4"/>
        <v/>
      </c>
      <c r="J45" s="63" t="str">
        <f t="shared" si="1"/>
        <v/>
      </c>
      <c r="K45" s="63" t="str">
        <f t="shared" si="2"/>
        <v/>
      </c>
      <c r="L45" s="66" t="str">
        <f t="shared" si="5"/>
        <v/>
      </c>
      <c r="M45" s="66" t="str">
        <f t="shared" si="3"/>
        <v/>
      </c>
      <c r="N45" s="64"/>
      <c r="O45" s="64"/>
    </row>
    <row r="46" spans="1:15" s="65" customFormat="1" ht="16" hidden="1" customHeight="1">
      <c r="A46" s="62"/>
      <c r="B46" s="75" t="str">
        <f>IF('[1]367 Community DI with Standard '!B46=0,"",'[1]367 Community DI with Standard '!B46)</f>
        <v/>
      </c>
      <c r="C46" s="75" t="str">
        <f>IF('[1]367 Community DI with Standard '!C46=0,"",'[1]367 Community DI with Standard '!C46)</f>
        <v/>
      </c>
      <c r="D46" s="75" t="str">
        <f>IF('[1]367 Community DI with Standard '!$C46="","",'[1]367 Community DI with Standard '!D46)</f>
        <v/>
      </c>
      <c r="E46" s="75" t="str">
        <f>IF('[1]367 Community DI with Standard '!$C46="","",'[1]367 Community DI with Standard '!E46)</f>
        <v/>
      </c>
      <c r="F46" s="75" t="str">
        <f>IF('[1]367 Community DI with Standard '!$C46="","",'[1]367 Community DI with Standard '!F46)</f>
        <v/>
      </c>
      <c r="G46" s="75" t="str">
        <f>IF('[1]367 Community DI with Standard '!$C46="","",'[1]367 Community DI with Standard '!G46)</f>
        <v/>
      </c>
      <c r="H46" s="75" t="str">
        <f>IF('[1]367 Community DI with Standard '!$C46="","",'[1]367 Community DI with Standard '!H46)</f>
        <v/>
      </c>
      <c r="I46" s="63" t="str">
        <f t="shared" si="4"/>
        <v/>
      </c>
      <c r="J46" s="63" t="str">
        <f t="shared" si="1"/>
        <v/>
      </c>
      <c r="K46" s="63" t="str">
        <f t="shared" si="2"/>
        <v/>
      </c>
      <c r="L46" s="66" t="str">
        <f t="shared" si="5"/>
        <v/>
      </c>
      <c r="M46" s="66" t="str">
        <f t="shared" si="3"/>
        <v/>
      </c>
      <c r="N46" s="64"/>
      <c r="O46" s="64"/>
    </row>
    <row r="47" spans="1:15" s="65" customFormat="1" ht="16" hidden="1" customHeight="1">
      <c r="A47" s="62"/>
      <c r="B47" s="75" t="str">
        <f>IF('[1]367 Community DI with Standard '!B47=0,"",'[1]367 Community DI with Standard '!B47)</f>
        <v/>
      </c>
      <c r="C47" s="75" t="str">
        <f>IF('[1]367 Community DI with Standard '!C47=0,"",'[1]367 Community DI with Standard '!C47)</f>
        <v/>
      </c>
      <c r="D47" s="75" t="str">
        <f>IF('[1]367 Community DI with Standard '!$C47="","",'[1]367 Community DI with Standard '!D47)</f>
        <v/>
      </c>
      <c r="E47" s="75" t="str">
        <f>IF('[1]367 Community DI with Standard '!$C47="","",'[1]367 Community DI with Standard '!E47)</f>
        <v/>
      </c>
      <c r="F47" s="75" t="str">
        <f>IF('[1]367 Community DI with Standard '!$C47="","",'[1]367 Community DI with Standard '!F47)</f>
        <v/>
      </c>
      <c r="G47" s="75" t="str">
        <f>IF('[1]367 Community DI with Standard '!$C47="","",'[1]367 Community DI with Standard '!G47)</f>
        <v/>
      </c>
      <c r="H47" s="75" t="str">
        <f>IF('[1]367 Community DI with Standard '!$C47="","",'[1]367 Community DI with Standard '!H47)</f>
        <v/>
      </c>
      <c r="I47" s="63" t="str">
        <f t="shared" si="4"/>
        <v/>
      </c>
      <c r="J47" s="63" t="str">
        <f t="shared" si="1"/>
        <v/>
      </c>
      <c r="K47" s="63" t="str">
        <f t="shared" si="2"/>
        <v/>
      </c>
      <c r="L47" s="66" t="str">
        <f t="shared" si="5"/>
        <v/>
      </c>
      <c r="M47" s="66" t="str">
        <f t="shared" si="3"/>
        <v/>
      </c>
      <c r="N47" s="64"/>
      <c r="O47" s="64"/>
    </row>
    <row r="48" spans="1:15" s="65" customFormat="1" ht="16" hidden="1" customHeight="1">
      <c r="A48" s="62"/>
      <c r="B48" s="75" t="str">
        <f>IF('[1]367 Community DI with Standard '!B48=0,"",'[1]367 Community DI with Standard '!B48)</f>
        <v/>
      </c>
      <c r="C48" s="75" t="str">
        <f>IF('[1]367 Community DI with Standard '!C48=0,"",'[1]367 Community DI with Standard '!C48)</f>
        <v/>
      </c>
      <c r="D48" s="75" t="str">
        <f>IF('[1]367 Community DI with Standard '!$C48="","",'[1]367 Community DI with Standard '!D48)</f>
        <v/>
      </c>
      <c r="E48" s="75" t="str">
        <f>IF('[1]367 Community DI with Standard '!$C48="","",'[1]367 Community DI with Standard '!E48)</f>
        <v/>
      </c>
      <c r="F48" s="75" t="str">
        <f>IF('[1]367 Community DI with Standard '!$C48="","",'[1]367 Community DI with Standard '!F48)</f>
        <v/>
      </c>
      <c r="G48" s="75" t="str">
        <f>IF('[1]367 Community DI with Standard '!$C48="","",'[1]367 Community DI with Standard '!G48)</f>
        <v/>
      </c>
      <c r="H48" s="75" t="str">
        <f>IF('[1]367 Community DI with Standard '!$C48="","",'[1]367 Community DI with Standard '!H48)</f>
        <v/>
      </c>
      <c r="I48" s="63" t="str">
        <f t="shared" si="4"/>
        <v/>
      </c>
      <c r="J48" s="63" t="str">
        <f t="shared" si="1"/>
        <v/>
      </c>
      <c r="K48" s="63" t="str">
        <f t="shared" si="2"/>
        <v/>
      </c>
      <c r="L48" s="66" t="str">
        <f t="shared" si="5"/>
        <v/>
      </c>
      <c r="M48" s="66" t="str">
        <f t="shared" si="3"/>
        <v/>
      </c>
      <c r="N48" s="64"/>
      <c r="O48" s="64"/>
    </row>
    <row r="49" spans="1:15" s="65" customFormat="1" ht="16" hidden="1" customHeight="1">
      <c r="A49" s="62"/>
      <c r="B49" s="75" t="str">
        <f>IF('[1]367 Community DI with Standard '!B49=0,"",'[1]367 Community DI with Standard '!B49)</f>
        <v/>
      </c>
      <c r="C49" s="75" t="str">
        <f>IF('[1]367 Community DI with Standard '!C49=0,"",'[1]367 Community DI with Standard '!C49)</f>
        <v/>
      </c>
      <c r="D49" s="75" t="str">
        <f>IF('[1]367 Community DI with Standard '!$C49="","",'[1]367 Community DI with Standard '!D49)</f>
        <v/>
      </c>
      <c r="E49" s="75" t="str">
        <f>IF('[1]367 Community DI with Standard '!$C49="","",'[1]367 Community DI with Standard '!E49)</f>
        <v/>
      </c>
      <c r="F49" s="75" t="str">
        <f>IF('[1]367 Community DI with Standard '!$C49="","",'[1]367 Community DI with Standard '!F49)</f>
        <v/>
      </c>
      <c r="G49" s="75" t="str">
        <f>IF('[1]367 Community DI with Standard '!$C49="","",'[1]367 Community DI with Standard '!G49)</f>
        <v/>
      </c>
      <c r="H49" s="75" t="str">
        <f>IF('[1]367 Community DI with Standard '!$C49="","",'[1]367 Community DI with Standard '!H49)</f>
        <v/>
      </c>
      <c r="I49" s="63" t="str">
        <f t="shared" si="4"/>
        <v/>
      </c>
      <c r="J49" s="63" t="str">
        <f t="shared" si="1"/>
        <v/>
      </c>
      <c r="K49" s="63" t="str">
        <f t="shared" si="2"/>
        <v/>
      </c>
      <c r="L49" s="66" t="str">
        <f t="shared" si="5"/>
        <v/>
      </c>
      <c r="M49" s="66" t="str">
        <f t="shared" si="3"/>
        <v/>
      </c>
      <c r="N49" s="64"/>
      <c r="O49" s="64"/>
    </row>
    <row r="50" spans="1:15" s="65" customFormat="1" ht="16" hidden="1" customHeight="1">
      <c r="A50" s="62"/>
      <c r="B50" s="75" t="str">
        <f>IF('[1]367 Community DI with Standard '!B50=0,"",'[1]367 Community DI with Standard '!B50)</f>
        <v/>
      </c>
      <c r="C50" s="75" t="str">
        <f>IF('[1]367 Community DI with Standard '!C50=0,"",'[1]367 Community DI with Standard '!C50)</f>
        <v/>
      </c>
      <c r="D50" s="75" t="str">
        <f>IF('[1]367 Community DI with Standard '!$C50="","",'[1]367 Community DI with Standard '!D50)</f>
        <v/>
      </c>
      <c r="E50" s="75" t="str">
        <f>IF('[1]367 Community DI with Standard '!$C50="","",'[1]367 Community DI with Standard '!E50)</f>
        <v/>
      </c>
      <c r="F50" s="75" t="str">
        <f>IF('[1]367 Community DI with Standard '!$C50="","",'[1]367 Community DI with Standard '!F50)</f>
        <v/>
      </c>
      <c r="G50" s="75" t="str">
        <f>IF('[1]367 Community DI with Standard '!$C50="","",'[1]367 Community DI with Standard '!G50)</f>
        <v/>
      </c>
      <c r="H50" s="75" t="str">
        <f>IF('[1]367 Community DI with Standard '!$C50="","",'[1]367 Community DI with Standard '!H50)</f>
        <v/>
      </c>
      <c r="I50" s="63" t="str">
        <f t="shared" si="4"/>
        <v/>
      </c>
      <c r="J50" s="63" t="str">
        <f t="shared" si="1"/>
        <v/>
      </c>
      <c r="K50" s="63" t="str">
        <f t="shared" si="2"/>
        <v/>
      </c>
      <c r="L50" s="66" t="str">
        <f t="shared" si="5"/>
        <v/>
      </c>
      <c r="M50" s="66" t="str">
        <f t="shared" si="3"/>
        <v/>
      </c>
      <c r="N50" s="64"/>
      <c r="O50" s="64"/>
    </row>
    <row r="51" spans="1:15" s="65" customFormat="1" ht="16" hidden="1" customHeight="1">
      <c r="A51" s="62"/>
      <c r="B51" s="75" t="str">
        <f>IF('[1]367 Community DI with Standard '!B51=0,"",'[1]367 Community DI with Standard '!B51)</f>
        <v/>
      </c>
      <c r="C51" s="75" t="str">
        <f>IF('[1]367 Community DI with Standard '!C51=0,"",'[1]367 Community DI with Standard '!C51)</f>
        <v/>
      </c>
      <c r="D51" s="75" t="str">
        <f>IF('[1]367 Community DI with Standard '!$C51="","",'[1]367 Community DI with Standard '!D51)</f>
        <v/>
      </c>
      <c r="E51" s="75" t="str">
        <f>IF('[1]367 Community DI with Standard '!$C51="","",'[1]367 Community DI with Standard '!E51)</f>
        <v/>
      </c>
      <c r="F51" s="75" t="str">
        <f>IF('[1]367 Community DI with Standard '!$C51="","",'[1]367 Community DI with Standard '!F51)</f>
        <v/>
      </c>
      <c r="G51" s="75" t="str">
        <f>IF('[1]367 Community DI with Standard '!$C51="","",'[1]367 Community DI with Standard '!G51)</f>
        <v/>
      </c>
      <c r="H51" s="75" t="str">
        <f>IF('[1]367 Community DI with Standard '!$C51="","",'[1]367 Community DI with Standard '!H51)</f>
        <v/>
      </c>
      <c r="I51" s="63" t="str">
        <f t="shared" si="4"/>
        <v/>
      </c>
      <c r="J51" s="63" t="str">
        <f t="shared" si="1"/>
        <v/>
      </c>
      <c r="K51" s="63" t="str">
        <f t="shared" si="2"/>
        <v/>
      </c>
      <c r="L51" s="66" t="str">
        <f t="shared" si="5"/>
        <v/>
      </c>
      <c r="M51" s="66" t="str">
        <f t="shared" si="3"/>
        <v/>
      </c>
      <c r="N51" s="64"/>
      <c r="O51" s="64"/>
    </row>
    <row r="52" spans="1:15" s="65" customFormat="1" ht="16" hidden="1" customHeight="1">
      <c r="A52" s="62"/>
      <c r="B52" s="75" t="str">
        <f>IF('[1]367 Community DI with Standard '!B52=0,"",'[1]367 Community DI with Standard '!B52)</f>
        <v/>
      </c>
      <c r="C52" s="75" t="str">
        <f>IF('[1]367 Community DI with Standard '!C52=0,"",'[1]367 Community DI with Standard '!C52)</f>
        <v/>
      </c>
      <c r="D52" s="75" t="str">
        <f>IF('[1]367 Community DI with Standard '!$C52="","",'[1]367 Community DI with Standard '!D52)</f>
        <v/>
      </c>
      <c r="E52" s="75" t="str">
        <f>IF('[1]367 Community DI with Standard '!$C52="","",'[1]367 Community DI with Standard '!E52)</f>
        <v/>
      </c>
      <c r="F52" s="75" t="str">
        <f>IF('[1]367 Community DI with Standard '!$C52="","",'[1]367 Community DI with Standard '!F52)</f>
        <v/>
      </c>
      <c r="G52" s="75" t="str">
        <f>IF('[1]367 Community DI with Standard '!$C52="","",'[1]367 Community DI with Standard '!G52)</f>
        <v/>
      </c>
      <c r="H52" s="75" t="str">
        <f>IF('[1]367 Community DI with Standard '!$C52="","",'[1]367 Community DI with Standard '!H52)</f>
        <v/>
      </c>
      <c r="I52" s="63" t="str">
        <f t="shared" si="4"/>
        <v/>
      </c>
      <c r="J52" s="63" t="str">
        <f t="shared" si="1"/>
        <v/>
      </c>
      <c r="K52" s="63" t="str">
        <f t="shared" si="2"/>
        <v/>
      </c>
      <c r="L52" s="66" t="str">
        <f t="shared" si="5"/>
        <v/>
      </c>
      <c r="M52" s="66" t="str">
        <f t="shared" si="3"/>
        <v/>
      </c>
      <c r="N52" s="64"/>
      <c r="O52" s="64"/>
    </row>
    <row r="53" spans="1:15" s="65" customFormat="1" ht="16" hidden="1" customHeight="1">
      <c r="A53" s="62"/>
      <c r="B53" s="75" t="str">
        <f>IF('[1]367 Community DI with Standard '!B53=0,"",'[1]367 Community DI with Standard '!B53)</f>
        <v/>
      </c>
      <c r="C53" s="75" t="str">
        <f>IF('[1]367 Community DI with Standard '!C53=0,"",'[1]367 Community DI with Standard '!C53)</f>
        <v/>
      </c>
      <c r="D53" s="75" t="str">
        <f>IF('[1]367 Community DI with Standard '!$C53="","",'[1]367 Community DI with Standard '!D53)</f>
        <v/>
      </c>
      <c r="E53" s="75" t="str">
        <f>IF('[1]367 Community DI with Standard '!$C53="","",'[1]367 Community DI with Standard '!E53)</f>
        <v/>
      </c>
      <c r="F53" s="75" t="str">
        <f>IF('[1]367 Community DI with Standard '!$C53="","",'[1]367 Community DI with Standard '!F53)</f>
        <v/>
      </c>
      <c r="G53" s="75" t="str">
        <f>IF('[1]367 Community DI with Standard '!$C53="","",'[1]367 Community DI with Standard '!G53)</f>
        <v/>
      </c>
      <c r="H53" s="75" t="str">
        <f>IF('[1]367 Community DI with Standard '!$C53="","",'[1]367 Community DI with Standard '!H53)</f>
        <v/>
      </c>
      <c r="I53" s="63" t="str">
        <f t="shared" si="4"/>
        <v/>
      </c>
      <c r="J53" s="63" t="str">
        <f t="shared" si="1"/>
        <v/>
      </c>
      <c r="K53" s="63" t="str">
        <f t="shared" si="2"/>
        <v/>
      </c>
      <c r="L53" s="66" t="str">
        <f t="shared" si="5"/>
        <v/>
      </c>
      <c r="M53" s="66" t="str">
        <f t="shared" si="3"/>
        <v/>
      </c>
      <c r="N53" s="64"/>
      <c r="O53" s="64"/>
    </row>
    <row r="54" spans="1:15" s="65" customFormat="1" ht="16" hidden="1" customHeight="1">
      <c r="A54" s="62"/>
      <c r="B54" s="75" t="str">
        <f>IF('[1]367 Community DI with Standard '!B54=0,"",'[1]367 Community DI with Standard '!B54)</f>
        <v/>
      </c>
      <c r="C54" s="75" t="str">
        <f>IF('[1]367 Community DI with Standard '!C54=0,"",'[1]367 Community DI with Standard '!C54)</f>
        <v/>
      </c>
      <c r="D54" s="75" t="str">
        <f>IF('[1]367 Community DI with Standard '!$C54="","",'[1]367 Community DI with Standard '!D54)</f>
        <v/>
      </c>
      <c r="E54" s="75" t="str">
        <f>IF('[1]367 Community DI with Standard '!$C54="","",'[1]367 Community DI with Standard '!E54)</f>
        <v/>
      </c>
      <c r="F54" s="75" t="str">
        <f>IF('[1]367 Community DI with Standard '!$C54="","",'[1]367 Community DI with Standard '!F54)</f>
        <v/>
      </c>
      <c r="G54" s="75" t="str">
        <f>IF('[1]367 Community DI with Standard '!$C54="","",'[1]367 Community DI with Standard '!G54)</f>
        <v/>
      </c>
      <c r="H54" s="75" t="str">
        <f>IF('[1]367 Community DI with Standard '!$C54="","",'[1]367 Community DI with Standard '!H54)</f>
        <v/>
      </c>
      <c r="I54" s="63" t="str">
        <f t="shared" si="4"/>
        <v/>
      </c>
      <c r="J54" s="63" t="str">
        <f t="shared" si="1"/>
        <v/>
      </c>
      <c r="K54" s="63" t="str">
        <f t="shared" si="2"/>
        <v/>
      </c>
      <c r="L54" s="66" t="str">
        <f t="shared" si="5"/>
        <v/>
      </c>
      <c r="M54" s="66" t="str">
        <f t="shared" si="3"/>
        <v/>
      </c>
      <c r="N54" s="64"/>
      <c r="O54" s="64"/>
    </row>
    <row r="55" spans="1:15" s="65" customFormat="1" ht="16" hidden="1" customHeight="1">
      <c r="A55" s="62"/>
      <c r="B55" s="75" t="str">
        <f>IF('[1]367 Community DI with Standard '!B55=0,"",'[1]367 Community DI with Standard '!B55)</f>
        <v/>
      </c>
      <c r="C55" s="75" t="str">
        <f>IF('[1]367 Community DI with Standard '!C55=0,"",'[1]367 Community DI with Standard '!C55)</f>
        <v/>
      </c>
      <c r="D55" s="75" t="str">
        <f>IF('[1]367 Community DI with Standard '!$C55="","",'[1]367 Community DI with Standard '!D55)</f>
        <v/>
      </c>
      <c r="E55" s="75" t="str">
        <f>IF('[1]367 Community DI with Standard '!$C55="","",'[1]367 Community DI with Standard '!E55)</f>
        <v/>
      </c>
      <c r="F55" s="75" t="str">
        <f>IF('[1]367 Community DI with Standard '!$C55="","",'[1]367 Community DI with Standard '!F55)</f>
        <v/>
      </c>
      <c r="G55" s="75" t="str">
        <f>IF('[1]367 Community DI with Standard '!$C55="","",'[1]367 Community DI with Standard '!G55)</f>
        <v/>
      </c>
      <c r="H55" s="75" t="str">
        <f>IF('[1]367 Community DI with Standard '!$C55="","",'[1]367 Community DI with Standard '!H55)</f>
        <v/>
      </c>
      <c r="I55" s="63" t="str">
        <f t="shared" si="4"/>
        <v/>
      </c>
      <c r="J55" s="63" t="str">
        <f t="shared" si="1"/>
        <v/>
      </c>
      <c r="K55" s="63" t="str">
        <f t="shared" si="2"/>
        <v/>
      </c>
      <c r="L55" s="66" t="str">
        <f t="shared" si="5"/>
        <v/>
      </c>
      <c r="M55" s="66" t="str">
        <f t="shared" si="3"/>
        <v/>
      </c>
      <c r="N55" s="64"/>
      <c r="O55" s="64"/>
    </row>
    <row r="56" spans="1:15" s="65" customFormat="1" ht="16" hidden="1" customHeight="1">
      <c r="A56" s="62"/>
      <c r="B56" s="75" t="str">
        <f>IF('[1]367 Community DI with Standard '!B56=0,"",'[1]367 Community DI with Standard '!B56)</f>
        <v/>
      </c>
      <c r="C56" s="75" t="str">
        <f>IF('[1]367 Community DI with Standard '!C56=0,"",'[1]367 Community DI with Standard '!C56)</f>
        <v/>
      </c>
      <c r="D56" s="75" t="str">
        <f>IF('[1]367 Community DI with Standard '!$C56="","",'[1]367 Community DI with Standard '!D56)</f>
        <v/>
      </c>
      <c r="E56" s="75" t="str">
        <f>IF('[1]367 Community DI with Standard '!$C56="","",'[1]367 Community DI with Standard '!E56)</f>
        <v/>
      </c>
      <c r="F56" s="75" t="str">
        <f>IF('[1]367 Community DI with Standard '!$C56="","",'[1]367 Community DI with Standard '!F56)</f>
        <v/>
      </c>
      <c r="G56" s="75" t="str">
        <f>IF('[1]367 Community DI with Standard '!$C56="","",'[1]367 Community DI with Standard '!G56)</f>
        <v/>
      </c>
      <c r="H56" s="75" t="str">
        <f>IF('[1]367 Community DI with Standard '!$C56="","",'[1]367 Community DI with Standard '!H56)</f>
        <v/>
      </c>
      <c r="I56" s="63" t="str">
        <f t="shared" si="4"/>
        <v/>
      </c>
      <c r="J56" s="63" t="str">
        <f t="shared" si="1"/>
        <v/>
      </c>
      <c r="K56" s="63" t="str">
        <f t="shared" si="2"/>
        <v/>
      </c>
      <c r="L56" s="66" t="str">
        <f t="shared" si="5"/>
        <v/>
      </c>
      <c r="M56" s="66" t="str">
        <f t="shared" si="3"/>
        <v/>
      </c>
      <c r="N56" s="64"/>
      <c r="O56" s="64"/>
    </row>
    <row r="57" spans="1:15" s="65" customFormat="1" ht="16" hidden="1" customHeight="1">
      <c r="A57" s="62"/>
      <c r="B57" s="75" t="str">
        <f>IF('[1]367 Community DI with Standard '!B57=0,"",'[1]367 Community DI with Standard '!B57)</f>
        <v/>
      </c>
      <c r="C57" s="75" t="str">
        <f>IF('[1]367 Community DI with Standard '!C57=0,"",'[1]367 Community DI with Standard '!C57)</f>
        <v/>
      </c>
      <c r="D57" s="75" t="str">
        <f>IF('[1]367 Community DI with Standard '!$C57="","",'[1]367 Community DI with Standard '!D57)</f>
        <v/>
      </c>
      <c r="E57" s="75" t="str">
        <f>IF('[1]367 Community DI with Standard '!$C57="","",'[1]367 Community DI with Standard '!E57)</f>
        <v/>
      </c>
      <c r="F57" s="75" t="str">
        <f>IF('[1]367 Community DI with Standard '!$C57="","",'[1]367 Community DI with Standard '!F57)</f>
        <v/>
      </c>
      <c r="G57" s="75" t="str">
        <f>IF('[1]367 Community DI with Standard '!$C57="","",'[1]367 Community DI with Standard '!G57)</f>
        <v/>
      </c>
      <c r="H57" s="75" t="str">
        <f>IF('[1]367 Community DI with Standard '!$C57="","",'[1]367 Community DI with Standard '!H57)</f>
        <v/>
      </c>
      <c r="I57" s="63" t="str">
        <f t="shared" si="4"/>
        <v/>
      </c>
      <c r="J57" s="63" t="str">
        <f t="shared" si="1"/>
        <v/>
      </c>
      <c r="K57" s="63" t="str">
        <f t="shared" si="2"/>
        <v/>
      </c>
      <c r="L57" s="66" t="str">
        <f t="shared" si="5"/>
        <v/>
      </c>
      <c r="M57" s="66" t="str">
        <f t="shared" si="3"/>
        <v/>
      </c>
      <c r="N57" s="64"/>
      <c r="O57" s="64"/>
    </row>
    <row r="58" spans="1:15" s="65" customFormat="1" ht="16" hidden="1" customHeight="1">
      <c r="A58" s="62"/>
      <c r="B58" s="75" t="str">
        <f>IF('[1]367 Community DI with Standard '!B58=0,"",'[1]367 Community DI with Standard '!B58)</f>
        <v/>
      </c>
      <c r="C58" s="75" t="str">
        <f>IF('[1]367 Community DI with Standard '!C58=0,"",'[1]367 Community DI with Standard '!C58)</f>
        <v/>
      </c>
      <c r="D58" s="75" t="str">
        <f>IF('[1]367 Community DI with Standard '!$C58="","",'[1]367 Community DI with Standard '!D58)</f>
        <v/>
      </c>
      <c r="E58" s="75" t="str">
        <f>IF('[1]367 Community DI with Standard '!$C58="","",'[1]367 Community DI with Standard '!E58)</f>
        <v/>
      </c>
      <c r="F58" s="75" t="str">
        <f>IF('[1]367 Community DI with Standard '!$C58="","",'[1]367 Community DI with Standard '!F58)</f>
        <v/>
      </c>
      <c r="G58" s="75" t="str">
        <f>IF('[1]367 Community DI with Standard '!$C58="","",'[1]367 Community DI with Standard '!G58)</f>
        <v/>
      </c>
      <c r="H58" s="75" t="str">
        <f>IF('[1]367 Community DI with Standard '!$C58="","",'[1]367 Community DI with Standard '!H58)</f>
        <v/>
      </c>
      <c r="I58" s="63" t="str">
        <f t="shared" si="4"/>
        <v/>
      </c>
      <c r="J58" s="63" t="str">
        <f t="shared" si="1"/>
        <v/>
      </c>
      <c r="K58" s="63" t="str">
        <f t="shared" si="2"/>
        <v/>
      </c>
      <c r="L58" s="66" t="str">
        <f t="shared" si="5"/>
        <v/>
      </c>
      <c r="M58" s="66" t="str">
        <f t="shared" si="3"/>
        <v/>
      </c>
      <c r="N58" s="64"/>
      <c r="O58" s="64"/>
    </row>
    <row r="59" spans="1:15" s="65" customFormat="1" ht="16" hidden="1" customHeight="1">
      <c r="A59" s="62"/>
      <c r="B59" s="75" t="str">
        <f>IF('[1]367 Community DI with Standard '!B59=0,"",'[1]367 Community DI with Standard '!B59)</f>
        <v/>
      </c>
      <c r="C59" s="75" t="str">
        <f>IF('[1]367 Community DI with Standard '!C59=0,"",'[1]367 Community DI with Standard '!C59)</f>
        <v/>
      </c>
      <c r="D59" s="75" t="str">
        <f>IF('[1]367 Community DI with Standard '!$C59="","",'[1]367 Community DI with Standard '!D59)</f>
        <v/>
      </c>
      <c r="E59" s="75" t="str">
        <f>IF('[1]367 Community DI with Standard '!$C59="","",'[1]367 Community DI with Standard '!E59)</f>
        <v/>
      </c>
      <c r="F59" s="75" t="str">
        <f>IF('[1]367 Community DI with Standard '!$C59="","",'[1]367 Community DI with Standard '!F59)</f>
        <v/>
      </c>
      <c r="G59" s="75" t="str">
        <f>IF('[1]367 Community DI with Standard '!$C59="","",'[1]367 Community DI with Standard '!G59)</f>
        <v/>
      </c>
      <c r="H59" s="75" t="str">
        <f>IF('[1]367 Community DI with Standard '!$C59="","",'[1]367 Community DI with Standard '!H59)</f>
        <v/>
      </c>
      <c r="I59" s="63" t="str">
        <f t="shared" si="4"/>
        <v/>
      </c>
      <c r="J59" s="63" t="str">
        <f t="shared" si="1"/>
        <v/>
      </c>
      <c r="K59" s="63" t="str">
        <f t="shared" si="2"/>
        <v/>
      </c>
      <c r="L59" s="66" t="str">
        <f t="shared" si="5"/>
        <v/>
      </c>
      <c r="M59" s="66" t="str">
        <f t="shared" si="3"/>
        <v/>
      </c>
      <c r="N59" s="64"/>
      <c r="O59" s="64"/>
    </row>
    <row r="60" spans="1:15" s="65" customFormat="1" ht="16" hidden="1" customHeight="1">
      <c r="A60" s="62"/>
      <c r="B60" s="75" t="str">
        <f>IF('[1]367 Community DI with Standard '!B60=0,"",'[1]367 Community DI with Standard '!B60)</f>
        <v/>
      </c>
      <c r="C60" s="75" t="str">
        <f>IF('[1]367 Community DI with Standard '!C60=0,"",'[1]367 Community DI with Standard '!C60)</f>
        <v/>
      </c>
      <c r="D60" s="75" t="str">
        <f>IF('[1]367 Community DI with Standard '!$C60="","",'[1]367 Community DI with Standard '!D60)</f>
        <v/>
      </c>
      <c r="E60" s="75" t="str">
        <f>IF('[1]367 Community DI with Standard '!$C60="","",'[1]367 Community DI with Standard '!E60)</f>
        <v/>
      </c>
      <c r="F60" s="75" t="str">
        <f>IF('[1]367 Community DI with Standard '!$C60="","",'[1]367 Community DI with Standard '!F60)</f>
        <v/>
      </c>
      <c r="G60" s="75" t="str">
        <f>IF('[1]367 Community DI with Standard '!$C60="","",'[1]367 Community DI with Standard '!G60)</f>
        <v/>
      </c>
      <c r="H60" s="75" t="str">
        <f>IF('[1]367 Community DI with Standard '!$C60="","",'[1]367 Community DI with Standard '!H60)</f>
        <v/>
      </c>
      <c r="I60" s="63" t="str">
        <f t="shared" si="4"/>
        <v/>
      </c>
      <c r="J60" s="63" t="str">
        <f t="shared" si="1"/>
        <v/>
      </c>
      <c r="K60" s="63" t="str">
        <f t="shared" si="2"/>
        <v/>
      </c>
      <c r="L60" s="66" t="str">
        <f t="shared" si="5"/>
        <v/>
      </c>
      <c r="M60" s="66" t="str">
        <f t="shared" si="3"/>
        <v/>
      </c>
      <c r="N60" s="64"/>
      <c r="O60" s="64"/>
    </row>
    <row r="61" spans="1:15" s="65" customFormat="1" ht="16" hidden="1" customHeight="1">
      <c r="A61" s="62"/>
      <c r="B61" s="75" t="str">
        <f>IF('[1]367 Community DI with Standard '!B61=0,"",'[1]367 Community DI with Standard '!B61)</f>
        <v/>
      </c>
      <c r="C61" s="75" t="str">
        <f>IF('[1]367 Community DI with Standard '!C61=0,"",'[1]367 Community DI with Standard '!C61)</f>
        <v/>
      </c>
      <c r="D61" s="75" t="str">
        <f>IF('[1]367 Community DI with Standard '!$C61="","",'[1]367 Community DI with Standard '!D61)</f>
        <v/>
      </c>
      <c r="E61" s="75" t="str">
        <f>IF('[1]367 Community DI with Standard '!$C61="","",'[1]367 Community DI with Standard '!E61)</f>
        <v/>
      </c>
      <c r="F61" s="75" t="str">
        <f>IF('[1]367 Community DI with Standard '!$C61="","",'[1]367 Community DI with Standard '!F61)</f>
        <v/>
      </c>
      <c r="G61" s="75" t="str">
        <f>IF('[1]367 Community DI with Standard '!$C61="","",'[1]367 Community DI with Standard '!G61)</f>
        <v/>
      </c>
      <c r="H61" s="75" t="str">
        <f>IF('[1]367 Community DI with Standard '!$C61="","",'[1]367 Community DI with Standard '!H61)</f>
        <v/>
      </c>
      <c r="I61" s="63" t="str">
        <f t="shared" si="4"/>
        <v/>
      </c>
      <c r="J61" s="63" t="str">
        <f t="shared" si="1"/>
        <v/>
      </c>
      <c r="K61" s="63" t="str">
        <f t="shared" si="2"/>
        <v/>
      </c>
      <c r="L61" s="66" t="str">
        <f t="shared" si="5"/>
        <v/>
      </c>
      <c r="M61" s="66" t="str">
        <f t="shared" si="3"/>
        <v/>
      </c>
      <c r="N61" s="64"/>
      <c r="O61" s="64"/>
    </row>
    <row r="62" spans="1:15" s="65" customFormat="1" ht="16" hidden="1" customHeight="1">
      <c r="A62" s="62"/>
      <c r="B62" s="75" t="str">
        <f>IF('[1]367 Community DI with Standard '!B62=0,"",'[1]367 Community DI with Standard '!B62)</f>
        <v/>
      </c>
      <c r="C62" s="75" t="str">
        <f>IF('[1]367 Community DI with Standard '!C62=0,"",'[1]367 Community DI with Standard '!C62)</f>
        <v/>
      </c>
      <c r="D62" s="75" t="str">
        <f>IF('[1]367 Community DI with Standard '!$C62="","",'[1]367 Community DI with Standard '!D62)</f>
        <v/>
      </c>
      <c r="E62" s="75" t="str">
        <f>IF('[1]367 Community DI with Standard '!$C62="","",'[1]367 Community DI with Standard '!E62)</f>
        <v/>
      </c>
      <c r="F62" s="75" t="str">
        <f>IF('[1]367 Community DI with Standard '!$C62="","",'[1]367 Community DI with Standard '!F62)</f>
        <v/>
      </c>
      <c r="G62" s="75" t="str">
        <f>IF('[1]367 Community DI with Standard '!$C62="","",'[1]367 Community DI with Standard '!G62)</f>
        <v/>
      </c>
      <c r="H62" s="75" t="str">
        <f>IF('[1]367 Community DI with Standard '!$C62="","",'[1]367 Community DI with Standard '!H62)</f>
        <v/>
      </c>
      <c r="I62" s="63" t="str">
        <f t="shared" si="4"/>
        <v/>
      </c>
      <c r="J62" s="63" t="str">
        <f t="shared" si="1"/>
        <v/>
      </c>
      <c r="K62" s="63" t="str">
        <f t="shared" si="2"/>
        <v/>
      </c>
      <c r="L62" s="66" t="str">
        <f t="shared" si="5"/>
        <v/>
      </c>
      <c r="M62" s="66" t="str">
        <f t="shared" si="3"/>
        <v/>
      </c>
      <c r="N62" s="64"/>
      <c r="O62" s="64"/>
    </row>
    <row r="63" spans="1:15" s="65" customFormat="1" ht="16" hidden="1" customHeight="1">
      <c r="A63" s="62"/>
      <c r="B63" s="75" t="str">
        <f>IF('[1]367 Community DI with Standard '!B63=0,"",'[1]367 Community DI with Standard '!B63)</f>
        <v/>
      </c>
      <c r="C63" s="75" t="str">
        <f>IF('[1]367 Community DI with Standard '!C63=0,"",'[1]367 Community DI with Standard '!C63)</f>
        <v/>
      </c>
      <c r="D63" s="75" t="str">
        <f>IF('[1]367 Community DI with Standard '!$C63="","",'[1]367 Community DI with Standard '!D63)</f>
        <v/>
      </c>
      <c r="E63" s="75" t="str">
        <f>IF('[1]367 Community DI with Standard '!$C63="","",'[1]367 Community DI with Standard '!E63)</f>
        <v/>
      </c>
      <c r="F63" s="75" t="str">
        <f>IF('[1]367 Community DI with Standard '!$C63="","",'[1]367 Community DI with Standard '!F63)</f>
        <v/>
      </c>
      <c r="G63" s="75" t="str">
        <f>IF('[1]367 Community DI with Standard '!$C63="","",'[1]367 Community DI with Standard '!G63)</f>
        <v/>
      </c>
      <c r="H63" s="75" t="str">
        <f>IF('[1]367 Community DI with Standard '!$C63="","",'[1]367 Community DI with Standard '!H63)</f>
        <v/>
      </c>
      <c r="I63" s="63" t="str">
        <f t="shared" si="4"/>
        <v/>
      </c>
      <c r="J63" s="63" t="str">
        <f t="shared" si="1"/>
        <v/>
      </c>
      <c r="K63" s="63" t="str">
        <f t="shared" si="2"/>
        <v/>
      </c>
      <c r="L63" s="66" t="str">
        <f t="shared" si="5"/>
        <v/>
      </c>
      <c r="M63" s="66" t="str">
        <f t="shared" si="3"/>
        <v/>
      </c>
      <c r="N63" s="64"/>
      <c r="O63" s="64"/>
    </row>
    <row r="64" spans="1:15" s="65" customFormat="1" ht="16" hidden="1" customHeight="1">
      <c r="A64" s="62"/>
      <c r="B64" s="75" t="str">
        <f>IF('[1]367 Community DI with Standard '!B64=0,"",'[1]367 Community DI with Standard '!B64)</f>
        <v/>
      </c>
      <c r="C64" s="75" t="str">
        <f>IF('[1]367 Community DI with Standard '!C64=0,"",'[1]367 Community DI with Standard '!C64)</f>
        <v/>
      </c>
      <c r="D64" s="75" t="str">
        <f>IF('[1]367 Community DI with Standard '!$C64="","",'[1]367 Community DI with Standard '!D64)</f>
        <v/>
      </c>
      <c r="E64" s="75" t="str">
        <f>IF('[1]367 Community DI with Standard '!$C64="","",'[1]367 Community DI with Standard '!E64)</f>
        <v/>
      </c>
      <c r="F64" s="75" t="str">
        <f>IF('[1]367 Community DI with Standard '!$C64="","",'[1]367 Community DI with Standard '!F64)</f>
        <v/>
      </c>
      <c r="G64" s="75" t="str">
        <f>IF('[1]367 Community DI with Standard '!$C64="","",'[1]367 Community DI with Standard '!G64)</f>
        <v/>
      </c>
      <c r="H64" s="75" t="str">
        <f>IF('[1]367 Community DI with Standard '!$C64="","",'[1]367 Community DI with Standard '!H64)</f>
        <v/>
      </c>
      <c r="I64" s="63" t="str">
        <f t="shared" si="4"/>
        <v/>
      </c>
      <c r="J64" s="63" t="str">
        <f t="shared" si="1"/>
        <v/>
      </c>
      <c r="K64" s="63" t="str">
        <f t="shared" si="2"/>
        <v/>
      </c>
      <c r="L64" s="66" t="str">
        <f t="shared" si="5"/>
        <v/>
      </c>
      <c r="M64" s="66" t="str">
        <f t="shared" si="3"/>
        <v/>
      </c>
      <c r="N64" s="64"/>
      <c r="O64" s="64"/>
    </row>
    <row r="65" spans="1:15" s="65" customFormat="1" ht="16" hidden="1" customHeight="1">
      <c r="A65" s="62"/>
      <c r="B65" s="75" t="str">
        <f>IF('[1]367 Community DI with Standard '!B65=0,"",'[1]367 Community DI with Standard '!B65)</f>
        <v/>
      </c>
      <c r="C65" s="75" t="str">
        <f>IF('[1]367 Community DI with Standard '!C65=0,"",'[1]367 Community DI with Standard '!C65)</f>
        <v/>
      </c>
      <c r="D65" s="75" t="str">
        <f>IF('[1]367 Community DI with Standard '!$C65="","",'[1]367 Community DI with Standard '!D65)</f>
        <v/>
      </c>
      <c r="E65" s="75" t="str">
        <f>IF('[1]367 Community DI with Standard '!$C65="","",'[1]367 Community DI with Standard '!E65)</f>
        <v/>
      </c>
      <c r="F65" s="75" t="str">
        <f>IF('[1]367 Community DI with Standard '!$C65="","",'[1]367 Community DI with Standard '!F65)</f>
        <v/>
      </c>
      <c r="G65" s="75" t="str">
        <f>IF('[1]367 Community DI with Standard '!$C65="","",'[1]367 Community DI with Standard '!G65)</f>
        <v/>
      </c>
      <c r="H65" s="75" t="str">
        <f>IF('[1]367 Community DI with Standard '!$C65="","",'[1]367 Community DI with Standard '!H65)</f>
        <v/>
      </c>
      <c r="I65" s="63" t="str">
        <f t="shared" si="4"/>
        <v/>
      </c>
      <c r="J65" s="63" t="str">
        <f t="shared" si="1"/>
        <v/>
      </c>
      <c r="K65" s="63" t="str">
        <f t="shared" si="2"/>
        <v/>
      </c>
      <c r="L65" s="66" t="str">
        <f t="shared" si="5"/>
        <v/>
      </c>
      <c r="M65" s="66" t="str">
        <f t="shared" si="3"/>
        <v/>
      </c>
      <c r="N65" s="64"/>
      <c r="O65" s="64"/>
    </row>
    <row r="66" spans="1:15" s="65" customFormat="1" ht="16" hidden="1" customHeight="1">
      <c r="A66" s="62"/>
      <c r="B66" s="75" t="str">
        <f>IF('[1]367 Community DI with Standard '!B66=0,"",'[1]367 Community DI with Standard '!B66)</f>
        <v/>
      </c>
      <c r="C66" s="75" t="str">
        <f>IF('[1]367 Community DI with Standard '!C66=0,"",'[1]367 Community DI with Standard '!C66)</f>
        <v/>
      </c>
      <c r="D66" s="75" t="str">
        <f>IF('[1]367 Community DI with Standard '!$C66="","",'[1]367 Community DI with Standard '!D66)</f>
        <v/>
      </c>
      <c r="E66" s="75" t="str">
        <f>IF('[1]367 Community DI with Standard '!$C66="","",'[1]367 Community DI with Standard '!E66)</f>
        <v/>
      </c>
      <c r="F66" s="75" t="str">
        <f>IF('[1]367 Community DI with Standard '!$C66="","",'[1]367 Community DI with Standard '!F66)</f>
        <v/>
      </c>
      <c r="G66" s="75" t="str">
        <f>IF('[1]367 Community DI with Standard '!$C66="","",'[1]367 Community DI with Standard '!G66)</f>
        <v/>
      </c>
      <c r="H66" s="75" t="str">
        <f>IF('[1]367 Community DI with Standard '!$C66="","",'[1]367 Community DI with Standard '!H66)</f>
        <v/>
      </c>
      <c r="I66" s="63" t="str">
        <f t="shared" si="4"/>
        <v/>
      </c>
      <c r="J66" s="63" t="str">
        <f t="shared" si="1"/>
        <v/>
      </c>
      <c r="K66" s="63" t="str">
        <f t="shared" si="2"/>
        <v/>
      </c>
      <c r="L66" s="66" t="str">
        <f t="shared" si="5"/>
        <v/>
      </c>
      <c r="M66" s="66" t="str">
        <f t="shared" si="3"/>
        <v/>
      </c>
      <c r="N66" s="64"/>
      <c r="O66" s="64"/>
    </row>
    <row r="67" spans="1:15" s="65" customFormat="1" ht="16" hidden="1" customHeight="1">
      <c r="A67" s="62"/>
      <c r="B67" s="75" t="str">
        <f>IF('[1]367 Community DI with Standard '!B67=0,"",'[1]367 Community DI with Standard '!B67)</f>
        <v/>
      </c>
      <c r="C67" s="75" t="str">
        <f>IF('[1]367 Community DI with Standard '!C67=0,"",'[1]367 Community DI with Standard '!C67)</f>
        <v/>
      </c>
      <c r="D67" s="75" t="str">
        <f>IF('[1]367 Community DI with Standard '!$C67="","",'[1]367 Community DI with Standard '!D67)</f>
        <v/>
      </c>
      <c r="E67" s="75" t="str">
        <f>IF('[1]367 Community DI with Standard '!$C67="","",'[1]367 Community DI with Standard '!E67)</f>
        <v/>
      </c>
      <c r="F67" s="75" t="str">
        <f>IF('[1]367 Community DI with Standard '!$C67="","",'[1]367 Community DI with Standard '!F67)</f>
        <v/>
      </c>
      <c r="G67" s="75" t="str">
        <f>IF('[1]367 Community DI with Standard '!$C67="","",'[1]367 Community DI with Standard '!G67)</f>
        <v/>
      </c>
      <c r="H67" s="75" t="str">
        <f>IF('[1]367 Community DI with Standard '!$C67="","",'[1]367 Community DI with Standard '!H67)</f>
        <v/>
      </c>
      <c r="I67" s="63" t="str">
        <f t="shared" si="4"/>
        <v/>
      </c>
      <c r="J67" s="63" t="str">
        <f t="shared" si="1"/>
        <v/>
      </c>
      <c r="K67" s="63" t="str">
        <f t="shared" si="2"/>
        <v/>
      </c>
      <c r="L67" s="66" t="str">
        <f t="shared" si="5"/>
        <v/>
      </c>
      <c r="M67" s="66" t="str">
        <f t="shared" si="3"/>
        <v/>
      </c>
      <c r="N67" s="64"/>
      <c r="O67" s="64"/>
    </row>
    <row r="68" spans="1:15" s="65" customFormat="1" ht="16" hidden="1" customHeight="1">
      <c r="A68" s="62"/>
      <c r="B68" s="75" t="str">
        <f>IF('[1]367 Community DI with Standard '!B68=0,"",'[1]367 Community DI with Standard '!B68)</f>
        <v/>
      </c>
      <c r="C68" s="75" t="str">
        <f>IF('[1]367 Community DI with Standard '!C68=0,"",'[1]367 Community DI with Standard '!C68)</f>
        <v/>
      </c>
      <c r="D68" s="75" t="str">
        <f>IF('[1]367 Community DI with Standard '!$C68="","",'[1]367 Community DI with Standard '!D68)</f>
        <v/>
      </c>
      <c r="E68" s="75" t="str">
        <f>IF('[1]367 Community DI with Standard '!$C68="","",'[1]367 Community DI with Standard '!E68)</f>
        <v/>
      </c>
      <c r="F68" s="75" t="str">
        <f>IF('[1]367 Community DI with Standard '!$C68="","",'[1]367 Community DI with Standard '!F68)</f>
        <v/>
      </c>
      <c r="G68" s="75" t="str">
        <f>IF('[1]367 Community DI with Standard '!$C68="","",'[1]367 Community DI with Standard '!G68)</f>
        <v/>
      </c>
      <c r="H68" s="75" t="str">
        <f>IF('[1]367 Community DI with Standard '!$C68="","",'[1]367 Community DI with Standard '!H68)</f>
        <v/>
      </c>
      <c r="I68" s="63" t="str">
        <f t="shared" si="4"/>
        <v/>
      </c>
      <c r="J68" s="63" t="str">
        <f t="shared" ref="J68:J99" si="6">IF(D68="","",D68-G68)</f>
        <v/>
      </c>
      <c r="K68" s="63" t="str">
        <f t="shared" ref="K68:K99" si="7">IF(D68="","",D68/E68)</f>
        <v/>
      </c>
      <c r="L68" s="66" t="str">
        <f t="shared" si="5"/>
        <v/>
      </c>
      <c r="M68" s="66" t="str">
        <f t="shared" ref="M68:M99" si="8">IF(D68="","",($D68-H68)/E68)</f>
        <v/>
      </c>
      <c r="N68" s="64"/>
      <c r="O68" s="64"/>
    </row>
    <row r="69" spans="1:15" s="65" customFormat="1" ht="16" hidden="1" customHeight="1">
      <c r="A69" s="62"/>
      <c r="B69" s="75" t="str">
        <f>IF('[1]367 Community DI with Standard '!B69=0,"",'[1]367 Community DI with Standard '!B69)</f>
        <v/>
      </c>
      <c r="C69" s="75" t="str">
        <f>IF('[1]367 Community DI with Standard '!C69=0,"",'[1]367 Community DI with Standard '!C69)</f>
        <v/>
      </c>
      <c r="D69" s="75" t="str">
        <f>IF('[1]367 Community DI with Standard '!$C69="","",'[1]367 Community DI with Standard '!D69)</f>
        <v/>
      </c>
      <c r="E69" s="75" t="str">
        <f>IF('[1]367 Community DI with Standard '!$C69="","",'[1]367 Community DI with Standard '!E69)</f>
        <v/>
      </c>
      <c r="F69" s="75" t="str">
        <f>IF('[1]367 Community DI with Standard '!$C69="","",'[1]367 Community DI with Standard '!F69)</f>
        <v/>
      </c>
      <c r="G69" s="75" t="str">
        <f>IF('[1]367 Community DI with Standard '!$C69="","",'[1]367 Community DI with Standard '!G69)</f>
        <v/>
      </c>
      <c r="H69" s="75" t="str">
        <f>IF('[1]367 Community DI with Standard '!$C69="","",'[1]367 Community DI with Standard '!H69)</f>
        <v/>
      </c>
      <c r="I69" s="63" t="str">
        <f t="shared" si="4"/>
        <v/>
      </c>
      <c r="J69" s="63" t="str">
        <f t="shared" si="6"/>
        <v/>
      </c>
      <c r="K69" s="63" t="str">
        <f t="shared" si="7"/>
        <v/>
      </c>
      <c r="L69" s="66" t="str">
        <f t="shared" si="5"/>
        <v/>
      </c>
      <c r="M69" s="66" t="str">
        <f t="shared" si="8"/>
        <v/>
      </c>
      <c r="N69" s="64"/>
      <c r="O69" s="64"/>
    </row>
    <row r="70" spans="1:15" s="65" customFormat="1" ht="16" hidden="1" customHeight="1">
      <c r="A70" s="62"/>
      <c r="B70" s="75" t="str">
        <f>IF('[1]367 Community DI with Standard '!B70=0,"",'[1]367 Community DI with Standard '!B70)</f>
        <v/>
      </c>
      <c r="C70" s="75" t="str">
        <f>IF('[1]367 Community DI with Standard '!C70=0,"",'[1]367 Community DI with Standard '!C70)</f>
        <v/>
      </c>
      <c r="D70" s="75" t="str">
        <f>IF('[1]367 Community DI with Standard '!$C70="","",'[1]367 Community DI with Standard '!D70)</f>
        <v/>
      </c>
      <c r="E70" s="75" t="str">
        <f>IF('[1]367 Community DI with Standard '!$C70="","",'[1]367 Community DI with Standard '!E70)</f>
        <v/>
      </c>
      <c r="F70" s="75" t="str">
        <f>IF('[1]367 Community DI with Standard '!$C70="","",'[1]367 Community DI with Standard '!F70)</f>
        <v/>
      </c>
      <c r="G70" s="75" t="str">
        <f>IF('[1]367 Community DI with Standard '!$C70="","",'[1]367 Community DI with Standard '!G70)</f>
        <v/>
      </c>
      <c r="H70" s="75" t="str">
        <f>IF('[1]367 Community DI with Standard '!$C70="","",'[1]367 Community DI with Standard '!H70)</f>
        <v/>
      </c>
      <c r="I70" s="63" t="str">
        <f t="shared" si="4"/>
        <v/>
      </c>
      <c r="J70" s="63" t="str">
        <f t="shared" si="6"/>
        <v/>
      </c>
      <c r="K70" s="63" t="str">
        <f t="shared" si="7"/>
        <v/>
      </c>
      <c r="L70" s="66" t="str">
        <f t="shared" si="5"/>
        <v/>
      </c>
      <c r="M70" s="66" t="str">
        <f t="shared" si="8"/>
        <v/>
      </c>
      <c r="N70" s="64"/>
      <c r="O70" s="64"/>
    </row>
    <row r="71" spans="1:15" s="65" customFormat="1" ht="16" hidden="1" customHeight="1">
      <c r="A71" s="62"/>
      <c r="B71" s="75" t="str">
        <f>IF('[1]367 Community DI with Standard '!B71=0,"",'[1]367 Community DI with Standard '!B71)</f>
        <v/>
      </c>
      <c r="C71" s="75" t="str">
        <f>IF('[1]367 Community DI with Standard '!C71=0,"",'[1]367 Community DI with Standard '!C71)</f>
        <v/>
      </c>
      <c r="D71" s="75" t="str">
        <f>IF('[1]367 Community DI with Standard '!$C71="","",'[1]367 Community DI with Standard '!D71)</f>
        <v/>
      </c>
      <c r="E71" s="75" t="str">
        <f>IF('[1]367 Community DI with Standard '!$C71="","",'[1]367 Community DI with Standard '!E71)</f>
        <v/>
      </c>
      <c r="F71" s="75" t="str">
        <f>IF('[1]367 Community DI with Standard '!$C71="","",'[1]367 Community DI with Standard '!F71)</f>
        <v/>
      </c>
      <c r="G71" s="75" t="str">
        <f>IF('[1]367 Community DI with Standard '!$C71="","",'[1]367 Community DI with Standard '!G71)</f>
        <v/>
      </c>
      <c r="H71" s="75" t="str">
        <f>IF('[1]367 Community DI with Standard '!$C71="","",'[1]367 Community DI with Standard '!H71)</f>
        <v/>
      </c>
      <c r="I71" s="63" t="str">
        <f t="shared" ref="I71:I99" si="9">IF(D71="","",D71-H71)</f>
        <v/>
      </c>
      <c r="J71" s="63" t="str">
        <f t="shared" si="6"/>
        <v/>
      </c>
      <c r="K71" s="63" t="str">
        <f t="shared" si="7"/>
        <v/>
      </c>
      <c r="L71" s="66" t="str">
        <f t="shared" si="5"/>
        <v/>
      </c>
      <c r="M71" s="66" t="str">
        <f t="shared" si="8"/>
        <v/>
      </c>
      <c r="N71" s="64"/>
      <c r="O71" s="64"/>
    </row>
    <row r="72" spans="1:15" s="65" customFormat="1" ht="16" hidden="1" customHeight="1">
      <c r="A72" s="62"/>
      <c r="B72" s="75" t="str">
        <f>IF('[1]367 Community DI with Standard '!B72=0,"",'[1]367 Community DI with Standard '!B72)</f>
        <v/>
      </c>
      <c r="C72" s="75" t="str">
        <f>IF('[1]367 Community DI with Standard '!C72=0,"",'[1]367 Community DI with Standard '!C72)</f>
        <v/>
      </c>
      <c r="D72" s="75" t="str">
        <f>IF('[1]367 Community DI with Standard '!$C72="","",'[1]367 Community DI with Standard '!D72)</f>
        <v/>
      </c>
      <c r="E72" s="75" t="str">
        <f>IF('[1]367 Community DI with Standard '!$C72="","",'[1]367 Community DI with Standard '!E72)</f>
        <v/>
      </c>
      <c r="F72" s="75" t="str">
        <f>IF('[1]367 Community DI with Standard '!$C72="","",'[1]367 Community DI with Standard '!F72)</f>
        <v/>
      </c>
      <c r="G72" s="75" t="str">
        <f>IF('[1]367 Community DI with Standard '!$C72="","",'[1]367 Community DI with Standard '!G72)</f>
        <v/>
      </c>
      <c r="H72" s="75" t="str">
        <f>IF('[1]367 Community DI with Standard '!$C72="","",'[1]367 Community DI with Standard '!H72)</f>
        <v/>
      </c>
      <c r="I72" s="63" t="str">
        <f t="shared" si="9"/>
        <v/>
      </c>
      <c r="J72" s="63" t="str">
        <f t="shared" si="6"/>
        <v/>
      </c>
      <c r="K72" s="63" t="str">
        <f t="shared" si="7"/>
        <v/>
      </c>
      <c r="L72" s="66" t="str">
        <f t="shared" si="5"/>
        <v/>
      </c>
      <c r="M72" s="66" t="str">
        <f t="shared" si="8"/>
        <v/>
      </c>
      <c r="N72" s="64"/>
      <c r="O72" s="64"/>
    </row>
    <row r="73" spans="1:15" s="65" customFormat="1" ht="16" hidden="1" customHeight="1">
      <c r="A73" s="62"/>
      <c r="B73" s="75" t="str">
        <f>IF('[1]367 Community DI with Standard '!B73=0,"",'[1]367 Community DI with Standard '!B73)</f>
        <v/>
      </c>
      <c r="C73" s="75" t="str">
        <f>IF('[1]367 Community DI with Standard '!C73=0,"",'[1]367 Community DI with Standard '!C73)</f>
        <v/>
      </c>
      <c r="D73" s="75" t="str">
        <f>IF('[1]367 Community DI with Standard '!$C73="","",'[1]367 Community DI with Standard '!D73)</f>
        <v/>
      </c>
      <c r="E73" s="75" t="str">
        <f>IF('[1]367 Community DI with Standard '!$C73="","",'[1]367 Community DI with Standard '!E73)</f>
        <v/>
      </c>
      <c r="F73" s="75" t="str">
        <f>IF('[1]367 Community DI with Standard '!$C73="","",'[1]367 Community DI with Standard '!F73)</f>
        <v/>
      </c>
      <c r="G73" s="75" t="str">
        <f>IF('[1]367 Community DI with Standard '!$C73="","",'[1]367 Community DI with Standard '!G73)</f>
        <v/>
      </c>
      <c r="H73" s="75" t="str">
        <f>IF('[1]367 Community DI with Standard '!$C73="","",'[1]367 Community DI with Standard '!H73)</f>
        <v/>
      </c>
      <c r="I73" s="63" t="str">
        <f t="shared" si="9"/>
        <v/>
      </c>
      <c r="J73" s="63" t="str">
        <f t="shared" si="6"/>
        <v/>
      </c>
      <c r="K73" s="63" t="str">
        <f t="shared" si="7"/>
        <v/>
      </c>
      <c r="L73" s="66" t="str">
        <f t="shared" si="5"/>
        <v/>
      </c>
      <c r="M73" s="66" t="str">
        <f t="shared" si="8"/>
        <v/>
      </c>
      <c r="N73" s="64"/>
      <c r="O73" s="64"/>
    </row>
    <row r="74" spans="1:15" s="65" customFormat="1" ht="16" hidden="1" customHeight="1">
      <c r="A74" s="62"/>
      <c r="B74" s="75" t="str">
        <f>IF('[1]367 Community DI with Standard '!B74=0,"",'[1]367 Community DI with Standard '!B74)</f>
        <v/>
      </c>
      <c r="C74" s="75" t="str">
        <f>IF('[1]367 Community DI with Standard '!C74=0,"",'[1]367 Community DI with Standard '!C74)</f>
        <v/>
      </c>
      <c r="D74" s="75" t="str">
        <f>IF('[1]367 Community DI with Standard '!$C74="","",'[1]367 Community DI with Standard '!D74)</f>
        <v/>
      </c>
      <c r="E74" s="75" t="str">
        <f>IF('[1]367 Community DI with Standard '!$C74="","",'[1]367 Community DI with Standard '!E74)</f>
        <v/>
      </c>
      <c r="F74" s="75" t="str">
        <f>IF('[1]367 Community DI with Standard '!$C74="","",'[1]367 Community DI with Standard '!F74)</f>
        <v/>
      </c>
      <c r="G74" s="75" t="str">
        <f>IF('[1]367 Community DI with Standard '!$C74="","",'[1]367 Community DI with Standard '!G74)</f>
        <v/>
      </c>
      <c r="H74" s="75" t="str">
        <f>IF('[1]367 Community DI with Standard '!$C74="","",'[1]367 Community DI with Standard '!H74)</f>
        <v/>
      </c>
      <c r="I74" s="63" t="str">
        <f t="shared" si="9"/>
        <v/>
      </c>
      <c r="J74" s="63" t="str">
        <f t="shared" si="6"/>
        <v/>
      </c>
      <c r="K74" s="63" t="str">
        <f t="shared" si="7"/>
        <v/>
      </c>
      <c r="L74" s="66" t="str">
        <f t="shared" si="5"/>
        <v/>
      </c>
      <c r="M74" s="66" t="str">
        <f t="shared" si="8"/>
        <v/>
      </c>
      <c r="N74" s="64"/>
      <c r="O74" s="64"/>
    </row>
    <row r="75" spans="1:15" s="65" customFormat="1" ht="16" hidden="1" customHeight="1">
      <c r="A75" s="62"/>
      <c r="B75" s="75" t="str">
        <f>IF('[1]367 Community DI with Standard '!B75=0,"",'[1]367 Community DI with Standard '!B75)</f>
        <v/>
      </c>
      <c r="C75" s="75" t="str">
        <f>IF('[1]367 Community DI with Standard '!C75=0,"",'[1]367 Community DI with Standard '!C75)</f>
        <v/>
      </c>
      <c r="D75" s="75" t="str">
        <f>IF('[1]367 Community DI with Standard '!$C75="","",'[1]367 Community DI with Standard '!D75)</f>
        <v/>
      </c>
      <c r="E75" s="75" t="str">
        <f>IF('[1]367 Community DI with Standard '!$C75="","",'[1]367 Community DI with Standard '!E75)</f>
        <v/>
      </c>
      <c r="F75" s="75" t="str">
        <f>IF('[1]367 Community DI with Standard '!$C75="","",'[1]367 Community DI with Standard '!F75)</f>
        <v/>
      </c>
      <c r="G75" s="75" t="str">
        <f>IF('[1]367 Community DI with Standard '!$C75="","",'[1]367 Community DI with Standard '!G75)</f>
        <v/>
      </c>
      <c r="H75" s="75" t="str">
        <f>IF('[1]367 Community DI with Standard '!$C75="","",'[1]367 Community DI with Standard '!H75)</f>
        <v/>
      </c>
      <c r="I75" s="63" t="str">
        <f t="shared" si="9"/>
        <v/>
      </c>
      <c r="J75" s="63" t="str">
        <f t="shared" si="6"/>
        <v/>
      </c>
      <c r="K75" s="63" t="str">
        <f t="shared" si="7"/>
        <v/>
      </c>
      <c r="L75" s="66" t="str">
        <f t="shared" si="5"/>
        <v/>
      </c>
      <c r="M75" s="66" t="str">
        <f t="shared" si="8"/>
        <v/>
      </c>
      <c r="N75" s="64"/>
      <c r="O75" s="64"/>
    </row>
    <row r="76" spans="1:15" s="65" customFormat="1" ht="16" hidden="1" customHeight="1">
      <c r="A76" s="62"/>
      <c r="B76" s="75" t="str">
        <f>IF('[1]367 Community DI with Standard '!B76=0,"",'[1]367 Community DI with Standard '!B76)</f>
        <v/>
      </c>
      <c r="C76" s="75" t="str">
        <f>IF('[1]367 Community DI with Standard '!C76=0,"",'[1]367 Community DI with Standard '!C76)</f>
        <v/>
      </c>
      <c r="D76" s="75" t="str">
        <f>IF('[1]367 Community DI with Standard '!$C76="","",'[1]367 Community DI with Standard '!D76)</f>
        <v/>
      </c>
      <c r="E76" s="75" t="str">
        <f>IF('[1]367 Community DI with Standard '!$C76="","",'[1]367 Community DI with Standard '!E76)</f>
        <v/>
      </c>
      <c r="F76" s="75" t="str">
        <f>IF('[1]367 Community DI with Standard '!$C76="","",'[1]367 Community DI with Standard '!F76)</f>
        <v/>
      </c>
      <c r="G76" s="75" t="str">
        <f>IF('[1]367 Community DI with Standard '!$C76="","",'[1]367 Community DI with Standard '!G76)</f>
        <v/>
      </c>
      <c r="H76" s="75" t="str">
        <f>IF('[1]367 Community DI with Standard '!$C76="","",'[1]367 Community DI with Standard '!H76)</f>
        <v/>
      </c>
      <c r="I76" s="63" t="str">
        <f t="shared" si="9"/>
        <v/>
      </c>
      <c r="J76" s="63" t="str">
        <f t="shared" si="6"/>
        <v/>
      </c>
      <c r="K76" s="63" t="str">
        <f t="shared" si="7"/>
        <v/>
      </c>
      <c r="L76" s="66" t="str">
        <f t="shared" si="5"/>
        <v/>
      </c>
      <c r="M76" s="66" t="str">
        <f t="shared" si="8"/>
        <v/>
      </c>
      <c r="N76" s="64"/>
      <c r="O76" s="64"/>
    </row>
    <row r="77" spans="1:15" s="65" customFormat="1" ht="16" hidden="1" customHeight="1">
      <c r="A77" s="62"/>
      <c r="B77" s="75" t="str">
        <f>IF('[1]367 Community DI with Standard '!B77=0,"",'[1]367 Community DI with Standard '!B77)</f>
        <v/>
      </c>
      <c r="C77" s="75" t="str">
        <f>IF('[1]367 Community DI with Standard '!C77=0,"",'[1]367 Community DI with Standard '!C77)</f>
        <v/>
      </c>
      <c r="D77" s="75" t="str">
        <f>IF('[1]367 Community DI with Standard '!$C77="","",'[1]367 Community DI with Standard '!D77)</f>
        <v/>
      </c>
      <c r="E77" s="75" t="str">
        <f>IF('[1]367 Community DI with Standard '!$C77="","",'[1]367 Community DI with Standard '!E77)</f>
        <v/>
      </c>
      <c r="F77" s="75" t="str">
        <f>IF('[1]367 Community DI with Standard '!$C77="","",'[1]367 Community DI with Standard '!F77)</f>
        <v/>
      </c>
      <c r="G77" s="75" t="str">
        <f>IF('[1]367 Community DI with Standard '!$C77="","",'[1]367 Community DI with Standard '!G77)</f>
        <v/>
      </c>
      <c r="H77" s="75" t="str">
        <f>IF('[1]367 Community DI with Standard '!$C77="","",'[1]367 Community DI with Standard '!H77)</f>
        <v/>
      </c>
      <c r="I77" s="63" t="str">
        <f t="shared" si="9"/>
        <v/>
      </c>
      <c r="J77" s="63" t="str">
        <f t="shared" si="6"/>
        <v/>
      </c>
      <c r="K77" s="63" t="str">
        <f t="shared" si="7"/>
        <v/>
      </c>
      <c r="L77" s="66" t="str">
        <f t="shared" si="5"/>
        <v/>
      </c>
      <c r="M77" s="66" t="str">
        <f t="shared" si="8"/>
        <v/>
      </c>
      <c r="N77" s="64"/>
      <c r="O77" s="64"/>
    </row>
    <row r="78" spans="1:15" s="65" customFormat="1" ht="16" hidden="1" customHeight="1">
      <c r="A78" s="62"/>
      <c r="B78" s="75" t="str">
        <f>IF('[1]367 Community DI with Standard '!B78=0,"",'[1]367 Community DI with Standard '!B78)</f>
        <v/>
      </c>
      <c r="C78" s="75" t="str">
        <f>IF('[1]367 Community DI with Standard '!C78=0,"",'[1]367 Community DI with Standard '!C78)</f>
        <v/>
      </c>
      <c r="D78" s="75" t="str">
        <f>IF('[1]367 Community DI with Standard '!$C78="","",'[1]367 Community DI with Standard '!D78)</f>
        <v/>
      </c>
      <c r="E78" s="75" t="str">
        <f>IF('[1]367 Community DI with Standard '!$C78="","",'[1]367 Community DI with Standard '!E78)</f>
        <v/>
      </c>
      <c r="F78" s="75" t="str">
        <f>IF('[1]367 Community DI with Standard '!$C78="","",'[1]367 Community DI with Standard '!F78)</f>
        <v/>
      </c>
      <c r="G78" s="75" t="str">
        <f>IF('[1]367 Community DI with Standard '!$C78="","",'[1]367 Community DI with Standard '!G78)</f>
        <v/>
      </c>
      <c r="H78" s="75" t="str">
        <f>IF('[1]367 Community DI with Standard '!$C78="","",'[1]367 Community DI with Standard '!H78)</f>
        <v/>
      </c>
      <c r="I78" s="63" t="str">
        <f t="shared" si="9"/>
        <v/>
      </c>
      <c r="J78" s="63" t="str">
        <f t="shared" si="6"/>
        <v/>
      </c>
      <c r="K78" s="63" t="str">
        <f t="shared" si="7"/>
        <v/>
      </c>
      <c r="L78" s="66" t="str">
        <f t="shared" si="5"/>
        <v/>
      </c>
      <c r="M78" s="66" t="str">
        <f t="shared" si="8"/>
        <v/>
      </c>
      <c r="N78" s="64"/>
      <c r="O78" s="64"/>
    </row>
    <row r="79" spans="1:15" s="65" customFormat="1" ht="16" hidden="1" customHeight="1">
      <c r="A79" s="62"/>
      <c r="B79" s="75" t="str">
        <f>IF('[1]367 Community DI with Standard '!B79=0,"",'[1]367 Community DI with Standard '!B79)</f>
        <v/>
      </c>
      <c r="C79" s="75" t="str">
        <f>IF('[1]367 Community DI with Standard '!C79=0,"",'[1]367 Community DI with Standard '!C79)</f>
        <v/>
      </c>
      <c r="D79" s="75" t="str">
        <f>IF('[1]367 Community DI with Standard '!$C79="","",'[1]367 Community DI with Standard '!D79)</f>
        <v/>
      </c>
      <c r="E79" s="75" t="str">
        <f>IF('[1]367 Community DI with Standard '!$C79="","",'[1]367 Community DI with Standard '!E79)</f>
        <v/>
      </c>
      <c r="F79" s="75" t="str">
        <f>IF('[1]367 Community DI with Standard '!$C79="","",'[1]367 Community DI with Standard '!F79)</f>
        <v/>
      </c>
      <c r="G79" s="75" t="str">
        <f>IF('[1]367 Community DI with Standard '!$C79="","",'[1]367 Community DI with Standard '!G79)</f>
        <v/>
      </c>
      <c r="H79" s="75" t="str">
        <f>IF('[1]367 Community DI with Standard '!$C79="","",'[1]367 Community DI with Standard '!H79)</f>
        <v/>
      </c>
      <c r="I79" s="63" t="str">
        <f t="shared" si="9"/>
        <v/>
      </c>
      <c r="J79" s="63" t="str">
        <f t="shared" si="6"/>
        <v/>
      </c>
      <c r="K79" s="63" t="str">
        <f t="shared" si="7"/>
        <v/>
      </c>
      <c r="L79" s="66" t="str">
        <f t="shared" si="5"/>
        <v/>
      </c>
      <c r="M79" s="66" t="str">
        <f t="shared" si="8"/>
        <v/>
      </c>
      <c r="N79" s="64"/>
      <c r="O79" s="64"/>
    </row>
    <row r="80" spans="1:15" s="65" customFormat="1" ht="16" hidden="1" customHeight="1">
      <c r="A80" s="62"/>
      <c r="B80" s="75" t="str">
        <f>IF('[1]367 Community DI with Standard '!B80=0,"",'[1]367 Community DI with Standard '!B80)</f>
        <v/>
      </c>
      <c r="C80" s="75" t="str">
        <f>IF('[1]367 Community DI with Standard '!C80=0,"",'[1]367 Community DI with Standard '!C80)</f>
        <v/>
      </c>
      <c r="D80" s="75" t="str">
        <f>IF('[1]367 Community DI with Standard '!$C80="","",'[1]367 Community DI with Standard '!D80)</f>
        <v/>
      </c>
      <c r="E80" s="75" t="str">
        <f>IF('[1]367 Community DI with Standard '!$C80="","",'[1]367 Community DI with Standard '!E80)</f>
        <v/>
      </c>
      <c r="F80" s="75" t="str">
        <f>IF('[1]367 Community DI with Standard '!$C80="","",'[1]367 Community DI with Standard '!F80)</f>
        <v/>
      </c>
      <c r="G80" s="75" t="str">
        <f>IF('[1]367 Community DI with Standard '!$C80="","",'[1]367 Community DI with Standard '!G80)</f>
        <v/>
      </c>
      <c r="H80" s="75" t="str">
        <f>IF('[1]367 Community DI with Standard '!$C80="","",'[1]367 Community DI with Standard '!H80)</f>
        <v/>
      </c>
      <c r="I80" s="63" t="str">
        <f t="shared" si="9"/>
        <v/>
      </c>
      <c r="J80" s="63" t="str">
        <f t="shared" si="6"/>
        <v/>
      </c>
      <c r="K80" s="63" t="str">
        <f t="shared" si="7"/>
        <v/>
      </c>
      <c r="L80" s="66" t="str">
        <f t="shared" si="5"/>
        <v/>
      </c>
      <c r="M80" s="66" t="str">
        <f t="shared" si="8"/>
        <v/>
      </c>
      <c r="N80" s="64"/>
      <c r="O80" s="64"/>
    </row>
    <row r="81" spans="1:15" s="65" customFormat="1" ht="16" hidden="1" customHeight="1">
      <c r="A81" s="62"/>
      <c r="B81" s="75" t="str">
        <f>IF('[1]367 Community DI with Standard '!B81=0,"",'[1]367 Community DI with Standard '!B81)</f>
        <v/>
      </c>
      <c r="C81" s="75" t="str">
        <f>IF('[1]367 Community DI with Standard '!C81=0,"",'[1]367 Community DI with Standard '!C81)</f>
        <v/>
      </c>
      <c r="D81" s="75" t="str">
        <f>IF('[1]367 Community DI with Standard '!$C81="","",'[1]367 Community DI with Standard '!D81)</f>
        <v/>
      </c>
      <c r="E81" s="75" t="str">
        <f>IF('[1]367 Community DI with Standard '!$C81="","",'[1]367 Community DI with Standard '!E81)</f>
        <v/>
      </c>
      <c r="F81" s="75" t="str">
        <f>IF('[1]367 Community DI with Standard '!$C81="","",'[1]367 Community DI with Standard '!F81)</f>
        <v/>
      </c>
      <c r="G81" s="75" t="str">
        <f>IF('[1]367 Community DI with Standard '!$C81="","",'[1]367 Community DI with Standard '!G81)</f>
        <v/>
      </c>
      <c r="H81" s="75" t="str">
        <f>IF('[1]367 Community DI with Standard '!$C81="","",'[1]367 Community DI with Standard '!H81)</f>
        <v/>
      </c>
      <c r="I81" s="63" t="str">
        <f t="shared" si="9"/>
        <v/>
      </c>
      <c r="J81" s="63" t="str">
        <f t="shared" si="6"/>
        <v/>
      </c>
      <c r="K81" s="63" t="str">
        <f t="shared" si="7"/>
        <v/>
      </c>
      <c r="L81" s="66" t="str">
        <f t="shared" si="5"/>
        <v/>
      </c>
      <c r="M81" s="66" t="str">
        <f t="shared" si="8"/>
        <v/>
      </c>
      <c r="N81" s="64"/>
      <c r="O81" s="64"/>
    </row>
    <row r="82" spans="1:15" s="65" customFormat="1" ht="16" hidden="1" customHeight="1">
      <c r="A82" s="62"/>
      <c r="B82" s="75" t="str">
        <f>IF('[1]367 Community DI with Standard '!B82=0,"",'[1]367 Community DI with Standard '!B82)</f>
        <v/>
      </c>
      <c r="C82" s="75" t="str">
        <f>IF('[1]367 Community DI with Standard '!C82=0,"",'[1]367 Community DI with Standard '!C82)</f>
        <v/>
      </c>
      <c r="D82" s="75" t="str">
        <f>IF('[1]367 Community DI with Standard '!$C82="","",'[1]367 Community DI with Standard '!D82)</f>
        <v/>
      </c>
      <c r="E82" s="75" t="str">
        <f>IF('[1]367 Community DI with Standard '!$C82="","",'[1]367 Community DI with Standard '!E82)</f>
        <v/>
      </c>
      <c r="F82" s="75" t="str">
        <f>IF('[1]367 Community DI with Standard '!$C82="","",'[1]367 Community DI with Standard '!F82)</f>
        <v/>
      </c>
      <c r="G82" s="75" t="str">
        <f>IF('[1]367 Community DI with Standard '!$C82="","",'[1]367 Community DI with Standard '!G82)</f>
        <v/>
      </c>
      <c r="H82" s="75" t="str">
        <f>IF('[1]367 Community DI with Standard '!$C82="","",'[1]367 Community DI with Standard '!H82)</f>
        <v/>
      </c>
      <c r="I82" s="63" t="str">
        <f t="shared" si="9"/>
        <v/>
      </c>
      <c r="J82" s="63" t="str">
        <f t="shared" si="6"/>
        <v/>
      </c>
      <c r="K82" s="63" t="str">
        <f t="shared" si="7"/>
        <v/>
      </c>
      <c r="L82" s="66" t="str">
        <f t="shared" si="5"/>
        <v/>
      </c>
      <c r="M82" s="66" t="str">
        <f t="shared" si="8"/>
        <v/>
      </c>
      <c r="N82" s="64"/>
      <c r="O82" s="64"/>
    </row>
    <row r="83" spans="1:15" s="65" customFormat="1" ht="16" hidden="1" customHeight="1">
      <c r="A83" s="62"/>
      <c r="B83" s="75" t="str">
        <f>IF('[1]367 Community DI with Standard '!B83=0,"",'[1]367 Community DI with Standard '!B83)</f>
        <v/>
      </c>
      <c r="C83" s="75" t="str">
        <f>IF('[1]367 Community DI with Standard '!C83=0,"",'[1]367 Community DI with Standard '!C83)</f>
        <v/>
      </c>
      <c r="D83" s="75" t="str">
        <f>IF('[1]367 Community DI with Standard '!$C83="","",'[1]367 Community DI with Standard '!D83)</f>
        <v/>
      </c>
      <c r="E83" s="75" t="str">
        <f>IF('[1]367 Community DI with Standard '!$C83="","",'[1]367 Community DI with Standard '!E83)</f>
        <v/>
      </c>
      <c r="F83" s="75" t="str">
        <f>IF('[1]367 Community DI with Standard '!$C83="","",'[1]367 Community DI with Standard '!F83)</f>
        <v/>
      </c>
      <c r="G83" s="75" t="str">
        <f>IF('[1]367 Community DI with Standard '!$C83="","",'[1]367 Community DI with Standard '!G83)</f>
        <v/>
      </c>
      <c r="H83" s="75" t="str">
        <f>IF('[1]367 Community DI with Standard '!$C83="","",'[1]367 Community DI with Standard '!H83)</f>
        <v/>
      </c>
      <c r="I83" s="63" t="str">
        <f t="shared" si="9"/>
        <v/>
      </c>
      <c r="J83" s="63" t="str">
        <f t="shared" si="6"/>
        <v/>
      </c>
      <c r="K83" s="63" t="str">
        <f t="shared" si="7"/>
        <v/>
      </c>
      <c r="L83" s="66" t="str">
        <f t="shared" si="5"/>
        <v/>
      </c>
      <c r="M83" s="66" t="str">
        <f t="shared" si="8"/>
        <v/>
      </c>
      <c r="N83" s="64"/>
      <c r="O83" s="64"/>
    </row>
    <row r="84" spans="1:15" s="65" customFormat="1" ht="16" hidden="1" customHeight="1">
      <c r="A84" s="62"/>
      <c r="B84" s="75" t="str">
        <f>IF('[1]367 Community DI with Standard '!B84=0,"",'[1]367 Community DI with Standard '!B84)</f>
        <v/>
      </c>
      <c r="C84" s="75" t="str">
        <f>IF('[1]367 Community DI with Standard '!C84=0,"",'[1]367 Community DI with Standard '!C84)</f>
        <v/>
      </c>
      <c r="D84" s="75" t="str">
        <f>IF('[1]367 Community DI with Standard '!$C84="","",'[1]367 Community DI with Standard '!D84)</f>
        <v/>
      </c>
      <c r="E84" s="75" t="str">
        <f>IF('[1]367 Community DI with Standard '!$C84="","",'[1]367 Community DI with Standard '!E84)</f>
        <v/>
      </c>
      <c r="F84" s="75" t="str">
        <f>IF('[1]367 Community DI with Standard '!$C84="","",'[1]367 Community DI with Standard '!F84)</f>
        <v/>
      </c>
      <c r="G84" s="75" t="str">
        <f>IF('[1]367 Community DI with Standard '!$C84="","",'[1]367 Community DI with Standard '!G84)</f>
        <v/>
      </c>
      <c r="H84" s="75" t="str">
        <f>IF('[1]367 Community DI with Standard '!$C84="","",'[1]367 Community DI with Standard '!H84)</f>
        <v/>
      </c>
      <c r="I84" s="63" t="str">
        <f t="shared" si="9"/>
        <v/>
      </c>
      <c r="J84" s="63" t="str">
        <f t="shared" si="6"/>
        <v/>
      </c>
      <c r="K84" s="63" t="str">
        <f t="shared" si="7"/>
        <v/>
      </c>
      <c r="L84" s="66" t="str">
        <f t="shared" si="5"/>
        <v/>
      </c>
      <c r="M84" s="66" t="str">
        <f t="shared" si="8"/>
        <v/>
      </c>
      <c r="N84" s="64"/>
      <c r="O84" s="64"/>
    </row>
    <row r="85" spans="1:15" s="65" customFormat="1" ht="16" hidden="1" customHeight="1">
      <c r="A85" s="62"/>
      <c r="B85" s="75" t="str">
        <f>IF('[1]367 Community DI with Standard '!B85=0,"",'[1]367 Community DI with Standard '!B85)</f>
        <v/>
      </c>
      <c r="C85" s="75" t="str">
        <f>IF('[1]367 Community DI with Standard '!C85=0,"",'[1]367 Community DI with Standard '!C85)</f>
        <v/>
      </c>
      <c r="D85" s="75" t="str">
        <f>IF('[1]367 Community DI with Standard '!$C85="","",'[1]367 Community DI with Standard '!D85)</f>
        <v/>
      </c>
      <c r="E85" s="75" t="str">
        <f>IF('[1]367 Community DI with Standard '!$C85="","",'[1]367 Community DI with Standard '!E85)</f>
        <v/>
      </c>
      <c r="F85" s="75" t="str">
        <f>IF('[1]367 Community DI with Standard '!$C85="","",'[1]367 Community DI with Standard '!F85)</f>
        <v/>
      </c>
      <c r="G85" s="75" t="str">
        <f>IF('[1]367 Community DI with Standard '!$C85="","",'[1]367 Community DI with Standard '!G85)</f>
        <v/>
      </c>
      <c r="H85" s="75" t="str">
        <f>IF('[1]367 Community DI with Standard '!$C85="","",'[1]367 Community DI with Standard '!H85)</f>
        <v/>
      </c>
      <c r="I85" s="63" t="str">
        <f t="shared" si="9"/>
        <v/>
      </c>
      <c r="J85" s="63" t="str">
        <f t="shared" si="6"/>
        <v/>
      </c>
      <c r="K85" s="63" t="str">
        <f t="shared" si="7"/>
        <v/>
      </c>
      <c r="L85" s="66" t="str">
        <f t="shared" si="5"/>
        <v/>
      </c>
      <c r="M85" s="66" t="str">
        <f t="shared" si="8"/>
        <v/>
      </c>
      <c r="N85" s="64"/>
      <c r="O85" s="64"/>
    </row>
    <row r="86" spans="1:15" s="65" customFormat="1" ht="16" hidden="1" customHeight="1">
      <c r="A86" s="62"/>
      <c r="B86" s="75" t="str">
        <f>IF('[1]367 Community DI with Standard '!B86=0,"",'[1]367 Community DI with Standard '!B86)</f>
        <v/>
      </c>
      <c r="C86" s="75" t="str">
        <f>IF('[1]367 Community DI with Standard '!C86=0,"",'[1]367 Community DI with Standard '!C86)</f>
        <v/>
      </c>
      <c r="D86" s="75" t="str">
        <f>IF('[1]367 Community DI with Standard '!$C86="","",'[1]367 Community DI with Standard '!D86)</f>
        <v/>
      </c>
      <c r="E86" s="75" t="str">
        <f>IF('[1]367 Community DI with Standard '!$C86="","",'[1]367 Community DI with Standard '!E86)</f>
        <v/>
      </c>
      <c r="F86" s="75" t="str">
        <f>IF('[1]367 Community DI with Standard '!$C86="","",'[1]367 Community DI with Standard '!F86)</f>
        <v/>
      </c>
      <c r="G86" s="75" t="str">
        <f>IF('[1]367 Community DI with Standard '!$C86="","",'[1]367 Community DI with Standard '!G86)</f>
        <v/>
      </c>
      <c r="H86" s="75" t="str">
        <f>IF('[1]367 Community DI with Standard '!$C86="","",'[1]367 Community DI with Standard '!H86)</f>
        <v/>
      </c>
      <c r="I86" s="63" t="str">
        <f t="shared" si="9"/>
        <v/>
      </c>
      <c r="J86" s="63" t="str">
        <f t="shared" si="6"/>
        <v/>
      </c>
      <c r="K86" s="63" t="str">
        <f t="shared" si="7"/>
        <v/>
      </c>
      <c r="L86" s="66" t="str">
        <f t="shared" si="5"/>
        <v/>
      </c>
      <c r="M86" s="66" t="str">
        <f t="shared" si="8"/>
        <v/>
      </c>
      <c r="N86" s="64"/>
      <c r="O86" s="64"/>
    </row>
    <row r="87" spans="1:15" s="65" customFormat="1" ht="16" hidden="1" customHeight="1">
      <c r="A87" s="62"/>
      <c r="B87" s="75" t="str">
        <f>IF('[1]367 Community DI with Standard '!B87=0,"",'[1]367 Community DI with Standard '!B87)</f>
        <v/>
      </c>
      <c r="C87" s="75" t="str">
        <f>IF('[1]367 Community DI with Standard '!C87=0,"",'[1]367 Community DI with Standard '!C87)</f>
        <v/>
      </c>
      <c r="D87" s="75" t="str">
        <f>IF('[1]367 Community DI with Standard '!$C87="","",'[1]367 Community DI with Standard '!D87)</f>
        <v/>
      </c>
      <c r="E87" s="75" t="str">
        <f>IF('[1]367 Community DI with Standard '!$C87="","",'[1]367 Community DI with Standard '!E87)</f>
        <v/>
      </c>
      <c r="F87" s="75" t="str">
        <f>IF('[1]367 Community DI with Standard '!$C87="","",'[1]367 Community DI with Standard '!F87)</f>
        <v/>
      </c>
      <c r="G87" s="75" t="str">
        <f>IF('[1]367 Community DI with Standard '!$C87="","",'[1]367 Community DI with Standard '!G87)</f>
        <v/>
      </c>
      <c r="H87" s="75" t="str">
        <f>IF('[1]367 Community DI with Standard '!$C87="","",'[1]367 Community DI with Standard '!H87)</f>
        <v/>
      </c>
      <c r="I87" s="63" t="str">
        <f t="shared" si="9"/>
        <v/>
      </c>
      <c r="J87" s="63" t="str">
        <f t="shared" si="6"/>
        <v/>
      </c>
      <c r="K87" s="63" t="str">
        <f t="shared" si="7"/>
        <v/>
      </c>
      <c r="L87" s="66" t="str">
        <f t="shared" si="5"/>
        <v/>
      </c>
      <c r="M87" s="66" t="str">
        <f t="shared" si="8"/>
        <v/>
      </c>
      <c r="N87" s="64"/>
      <c r="O87" s="64"/>
    </row>
    <row r="88" spans="1:15" s="65" customFormat="1" ht="16" hidden="1" customHeight="1">
      <c r="A88" s="62"/>
      <c r="B88" s="75" t="str">
        <f>IF('[1]367 Community DI with Standard '!B88=0,"",'[1]367 Community DI with Standard '!B88)</f>
        <v/>
      </c>
      <c r="C88" s="75" t="str">
        <f>IF('[1]367 Community DI with Standard '!C88=0,"",'[1]367 Community DI with Standard '!C88)</f>
        <v/>
      </c>
      <c r="D88" s="75" t="str">
        <f>IF('[1]367 Community DI with Standard '!$C88="","",'[1]367 Community DI with Standard '!D88)</f>
        <v/>
      </c>
      <c r="E88" s="75" t="str">
        <f>IF('[1]367 Community DI with Standard '!$C88="","",'[1]367 Community DI with Standard '!E88)</f>
        <v/>
      </c>
      <c r="F88" s="75" t="str">
        <f>IF('[1]367 Community DI with Standard '!$C88="","",'[1]367 Community DI with Standard '!F88)</f>
        <v/>
      </c>
      <c r="G88" s="75" t="str">
        <f>IF('[1]367 Community DI with Standard '!$C88="","",'[1]367 Community DI with Standard '!G88)</f>
        <v/>
      </c>
      <c r="H88" s="75" t="str">
        <f>IF('[1]367 Community DI with Standard '!$C88="","",'[1]367 Community DI with Standard '!H88)</f>
        <v/>
      </c>
      <c r="I88" s="63" t="str">
        <f t="shared" si="9"/>
        <v/>
      </c>
      <c r="J88" s="63" t="str">
        <f t="shared" si="6"/>
        <v/>
      </c>
      <c r="K88" s="63" t="str">
        <f t="shared" si="7"/>
        <v/>
      </c>
      <c r="L88" s="66" t="str">
        <f t="shared" si="5"/>
        <v/>
      </c>
      <c r="M88" s="66" t="str">
        <f t="shared" si="8"/>
        <v/>
      </c>
      <c r="N88" s="64"/>
      <c r="O88" s="64"/>
    </row>
    <row r="89" spans="1:15" s="65" customFormat="1" ht="16" hidden="1" customHeight="1">
      <c r="A89" s="62"/>
      <c r="B89" s="75" t="str">
        <f>IF('[1]367 Community DI with Standard '!B89=0,"",'[1]367 Community DI with Standard '!B89)</f>
        <v/>
      </c>
      <c r="C89" s="75" t="str">
        <f>IF('[1]367 Community DI with Standard '!C89=0,"",'[1]367 Community DI with Standard '!C89)</f>
        <v/>
      </c>
      <c r="D89" s="75" t="str">
        <f>IF('[1]367 Community DI with Standard '!$C89="","",'[1]367 Community DI with Standard '!D89)</f>
        <v/>
      </c>
      <c r="E89" s="75" t="str">
        <f>IF('[1]367 Community DI with Standard '!$C89="","",'[1]367 Community DI with Standard '!E89)</f>
        <v/>
      </c>
      <c r="F89" s="75" t="str">
        <f>IF('[1]367 Community DI with Standard '!$C89="","",'[1]367 Community DI with Standard '!F89)</f>
        <v/>
      </c>
      <c r="G89" s="75" t="str">
        <f>IF('[1]367 Community DI with Standard '!$C89="","",'[1]367 Community DI with Standard '!G89)</f>
        <v/>
      </c>
      <c r="H89" s="75" t="str">
        <f>IF('[1]367 Community DI with Standard '!$C89="","",'[1]367 Community DI with Standard '!H89)</f>
        <v/>
      </c>
      <c r="I89" s="63" t="str">
        <f t="shared" si="9"/>
        <v/>
      </c>
      <c r="J89" s="63" t="str">
        <f t="shared" si="6"/>
        <v/>
      </c>
      <c r="K89" s="63" t="str">
        <f t="shared" si="7"/>
        <v/>
      </c>
      <c r="L89" s="66" t="str">
        <f t="shared" si="5"/>
        <v/>
      </c>
      <c r="M89" s="66" t="str">
        <f t="shared" si="8"/>
        <v/>
      </c>
      <c r="N89" s="64"/>
      <c r="O89" s="64"/>
    </row>
    <row r="90" spans="1:15" s="65" customFormat="1" ht="16" hidden="1" customHeight="1">
      <c r="A90" s="62"/>
      <c r="B90" s="75" t="str">
        <f>IF('[1]367 Community DI with Standard '!B90=0,"",'[1]367 Community DI with Standard '!B90)</f>
        <v/>
      </c>
      <c r="C90" s="75" t="str">
        <f>IF('[1]367 Community DI with Standard '!C90=0,"",'[1]367 Community DI with Standard '!C90)</f>
        <v/>
      </c>
      <c r="D90" s="75" t="str">
        <f>IF('[1]367 Community DI with Standard '!$C90="","",'[1]367 Community DI with Standard '!D90)</f>
        <v/>
      </c>
      <c r="E90" s="75" t="str">
        <f>IF('[1]367 Community DI with Standard '!$C90="","",'[1]367 Community DI with Standard '!E90)</f>
        <v/>
      </c>
      <c r="F90" s="75" t="str">
        <f>IF('[1]367 Community DI with Standard '!$C90="","",'[1]367 Community DI with Standard '!F90)</f>
        <v/>
      </c>
      <c r="G90" s="75" t="str">
        <f>IF('[1]367 Community DI with Standard '!$C90="","",'[1]367 Community DI with Standard '!G90)</f>
        <v/>
      </c>
      <c r="H90" s="75" t="str">
        <f>IF('[1]367 Community DI with Standard '!$C90="","",'[1]367 Community DI with Standard '!H90)</f>
        <v/>
      </c>
      <c r="I90" s="63" t="str">
        <f t="shared" si="9"/>
        <v/>
      </c>
      <c r="J90" s="63" t="str">
        <f t="shared" si="6"/>
        <v/>
      </c>
      <c r="K90" s="63" t="str">
        <f t="shared" si="7"/>
        <v/>
      </c>
      <c r="L90" s="66" t="str">
        <f t="shared" si="5"/>
        <v/>
      </c>
      <c r="M90" s="66" t="str">
        <f t="shared" si="8"/>
        <v/>
      </c>
      <c r="N90" s="64"/>
      <c r="O90" s="64"/>
    </row>
    <row r="91" spans="1:15" s="65" customFormat="1" ht="16" hidden="1" customHeight="1">
      <c r="A91" s="62"/>
      <c r="B91" s="75" t="str">
        <f>IF('[1]367 Community DI with Standard '!B91=0,"",'[1]367 Community DI with Standard '!B91)</f>
        <v/>
      </c>
      <c r="C91" s="75" t="str">
        <f>IF('[1]367 Community DI with Standard '!C91=0,"",'[1]367 Community DI with Standard '!C91)</f>
        <v/>
      </c>
      <c r="D91" s="75" t="str">
        <f>IF('[1]367 Community DI with Standard '!$C91="","",'[1]367 Community DI with Standard '!D91)</f>
        <v/>
      </c>
      <c r="E91" s="75" t="str">
        <f>IF('[1]367 Community DI with Standard '!$C91="","",'[1]367 Community DI with Standard '!E91)</f>
        <v/>
      </c>
      <c r="F91" s="75" t="str">
        <f>IF('[1]367 Community DI with Standard '!$C91="","",'[1]367 Community DI with Standard '!F91)</f>
        <v/>
      </c>
      <c r="G91" s="75" t="str">
        <f>IF('[1]367 Community DI with Standard '!$C91="","",'[1]367 Community DI with Standard '!G91)</f>
        <v/>
      </c>
      <c r="H91" s="75" t="str">
        <f>IF('[1]367 Community DI with Standard '!$C91="","",'[1]367 Community DI with Standard '!H91)</f>
        <v/>
      </c>
      <c r="I91" s="63" t="str">
        <f t="shared" si="9"/>
        <v/>
      </c>
      <c r="J91" s="63" t="str">
        <f t="shared" si="6"/>
        <v/>
      </c>
      <c r="K91" s="63" t="str">
        <f t="shared" si="7"/>
        <v/>
      </c>
      <c r="L91" s="66" t="str">
        <f t="shared" si="5"/>
        <v/>
      </c>
      <c r="M91" s="66" t="str">
        <f t="shared" si="8"/>
        <v/>
      </c>
      <c r="N91" s="64"/>
      <c r="O91" s="64"/>
    </row>
    <row r="92" spans="1:15" s="65" customFormat="1" ht="16" hidden="1" customHeight="1">
      <c r="A92" s="62"/>
      <c r="B92" s="75" t="str">
        <f>IF('[1]367 Community DI with Standard '!B92=0,"",'[1]367 Community DI with Standard '!B92)</f>
        <v/>
      </c>
      <c r="C92" s="75" t="str">
        <f>IF('[1]367 Community DI with Standard '!C92=0,"",'[1]367 Community DI with Standard '!C92)</f>
        <v/>
      </c>
      <c r="D92" s="75" t="str">
        <f>IF('[1]367 Community DI with Standard '!$C92="","",'[1]367 Community DI with Standard '!D92)</f>
        <v/>
      </c>
      <c r="E92" s="75" t="str">
        <f>IF('[1]367 Community DI with Standard '!$C92="","",'[1]367 Community DI with Standard '!E92)</f>
        <v/>
      </c>
      <c r="F92" s="75" t="str">
        <f>IF('[1]367 Community DI with Standard '!$C92="","",'[1]367 Community DI with Standard '!F92)</f>
        <v/>
      </c>
      <c r="G92" s="75" t="str">
        <f>IF('[1]367 Community DI with Standard '!$C92="","",'[1]367 Community DI with Standard '!G92)</f>
        <v/>
      </c>
      <c r="H92" s="75" t="str">
        <f>IF('[1]367 Community DI with Standard '!$C92="","",'[1]367 Community DI with Standard '!H92)</f>
        <v/>
      </c>
      <c r="I92" s="63" t="str">
        <f t="shared" si="9"/>
        <v/>
      </c>
      <c r="J92" s="63" t="str">
        <f t="shared" si="6"/>
        <v/>
      </c>
      <c r="K92" s="63" t="str">
        <f t="shared" si="7"/>
        <v/>
      </c>
      <c r="L92" s="66" t="str">
        <f t="shared" si="5"/>
        <v/>
      </c>
      <c r="M92" s="66" t="str">
        <f t="shared" si="8"/>
        <v/>
      </c>
      <c r="N92" s="64"/>
      <c r="O92" s="64"/>
    </row>
    <row r="93" spans="1:15" s="65" customFormat="1" ht="16" hidden="1" customHeight="1">
      <c r="A93" s="62"/>
      <c r="B93" s="75" t="str">
        <f>IF('[1]367 Community DI with Standard '!B93=0,"",'[1]367 Community DI with Standard '!B93)</f>
        <v/>
      </c>
      <c r="C93" s="75" t="str">
        <f>IF('[1]367 Community DI with Standard '!C93=0,"",'[1]367 Community DI with Standard '!C93)</f>
        <v/>
      </c>
      <c r="D93" s="75" t="str">
        <f>IF('[1]367 Community DI with Standard '!$C93="","",'[1]367 Community DI with Standard '!D93)</f>
        <v/>
      </c>
      <c r="E93" s="75" t="str">
        <f>IF('[1]367 Community DI with Standard '!$C93="","",'[1]367 Community DI with Standard '!E93)</f>
        <v/>
      </c>
      <c r="F93" s="75" t="str">
        <f>IF('[1]367 Community DI with Standard '!$C93="","",'[1]367 Community DI with Standard '!F93)</f>
        <v/>
      </c>
      <c r="G93" s="75" t="str">
        <f>IF('[1]367 Community DI with Standard '!$C93="","",'[1]367 Community DI with Standard '!G93)</f>
        <v/>
      </c>
      <c r="H93" s="75" t="str">
        <f>IF('[1]367 Community DI with Standard '!$C93="","",'[1]367 Community DI with Standard '!H93)</f>
        <v/>
      </c>
      <c r="I93" s="63" t="str">
        <f t="shared" si="9"/>
        <v/>
      </c>
      <c r="J93" s="63" t="str">
        <f t="shared" si="6"/>
        <v/>
      </c>
      <c r="K93" s="63" t="str">
        <f t="shared" si="7"/>
        <v/>
      </c>
      <c r="L93" s="66" t="str">
        <f t="shared" ref="L93:L99" si="10">IF(D93="","",($D93-G93)/E93)</f>
        <v/>
      </c>
      <c r="M93" s="66" t="str">
        <f t="shared" si="8"/>
        <v/>
      </c>
      <c r="N93" s="64"/>
      <c r="O93" s="64"/>
    </row>
    <row r="94" spans="1:15" s="65" customFormat="1" ht="16" hidden="1" customHeight="1">
      <c r="A94" s="62"/>
      <c r="B94" s="75" t="str">
        <f>IF('[1]367 Community DI with Standard '!B94=0,"",'[1]367 Community DI with Standard '!B94)</f>
        <v/>
      </c>
      <c r="C94" s="75" t="str">
        <f>IF('[1]367 Community DI with Standard '!C94=0,"",'[1]367 Community DI with Standard '!C94)</f>
        <v/>
      </c>
      <c r="D94" s="75" t="str">
        <f>IF('[1]367 Community DI with Standard '!$C94="","",'[1]367 Community DI with Standard '!D94)</f>
        <v/>
      </c>
      <c r="E94" s="75" t="str">
        <f>IF('[1]367 Community DI with Standard '!$C94="","",'[1]367 Community DI with Standard '!E94)</f>
        <v/>
      </c>
      <c r="F94" s="75" t="str">
        <f>IF('[1]367 Community DI with Standard '!$C94="","",'[1]367 Community DI with Standard '!F94)</f>
        <v/>
      </c>
      <c r="G94" s="75" t="str">
        <f>IF('[1]367 Community DI with Standard '!$C94="","",'[1]367 Community DI with Standard '!G94)</f>
        <v/>
      </c>
      <c r="H94" s="75" t="str">
        <f>IF('[1]367 Community DI with Standard '!$C94="","",'[1]367 Community DI with Standard '!H94)</f>
        <v/>
      </c>
      <c r="I94" s="63" t="str">
        <f t="shared" si="9"/>
        <v/>
      </c>
      <c r="J94" s="63" t="str">
        <f t="shared" si="6"/>
        <v/>
      </c>
      <c r="K94" s="63" t="str">
        <f t="shared" si="7"/>
        <v/>
      </c>
      <c r="L94" s="66" t="str">
        <f t="shared" si="10"/>
        <v/>
      </c>
      <c r="M94" s="66" t="str">
        <f t="shared" si="8"/>
        <v/>
      </c>
      <c r="N94" s="64"/>
      <c r="O94" s="64"/>
    </row>
    <row r="95" spans="1:15" s="65" customFormat="1" ht="16" hidden="1" customHeight="1">
      <c r="A95" s="62"/>
      <c r="B95" s="75" t="str">
        <f>IF('[1]367 Community DI with Standard '!B95=0,"",'[1]367 Community DI with Standard '!B95)</f>
        <v/>
      </c>
      <c r="C95" s="75" t="str">
        <f>IF('[1]367 Community DI with Standard '!C95=0,"",'[1]367 Community DI with Standard '!C95)</f>
        <v/>
      </c>
      <c r="D95" s="75" t="str">
        <f>IF('[1]367 Community DI with Standard '!$C95="","",'[1]367 Community DI with Standard '!D95)</f>
        <v/>
      </c>
      <c r="E95" s="75" t="str">
        <f>IF('[1]367 Community DI with Standard '!$C95="","",'[1]367 Community DI with Standard '!E95)</f>
        <v/>
      </c>
      <c r="F95" s="75" t="str">
        <f>IF('[1]367 Community DI with Standard '!$C95="","",'[1]367 Community DI with Standard '!F95)</f>
        <v/>
      </c>
      <c r="G95" s="75" t="str">
        <f>IF('[1]367 Community DI with Standard '!$C95="","",'[1]367 Community DI with Standard '!G95)</f>
        <v/>
      </c>
      <c r="H95" s="75" t="str">
        <f>IF('[1]367 Community DI with Standard '!$C95="","",'[1]367 Community DI with Standard '!H95)</f>
        <v/>
      </c>
      <c r="I95" s="63" t="str">
        <f t="shared" si="9"/>
        <v/>
      </c>
      <c r="J95" s="63" t="str">
        <f t="shared" si="6"/>
        <v/>
      </c>
      <c r="K95" s="63" t="str">
        <f t="shared" si="7"/>
        <v/>
      </c>
      <c r="L95" s="66" t="str">
        <f t="shared" si="10"/>
        <v/>
      </c>
      <c r="M95" s="66" t="str">
        <f t="shared" si="8"/>
        <v/>
      </c>
      <c r="N95" s="64"/>
      <c r="O95" s="64"/>
    </row>
    <row r="96" spans="1:15" s="65" customFormat="1" ht="16" hidden="1" customHeight="1">
      <c r="A96" s="62"/>
      <c r="B96" s="75" t="str">
        <f>IF('[1]367 Community DI with Standard '!B96=0,"",'[1]367 Community DI with Standard '!B96)</f>
        <v/>
      </c>
      <c r="C96" s="75" t="str">
        <f>IF('[1]367 Community DI with Standard '!C96=0,"",'[1]367 Community DI with Standard '!C96)</f>
        <v/>
      </c>
      <c r="D96" s="75" t="str">
        <f>IF('[1]367 Community DI with Standard '!$C96="","",'[1]367 Community DI with Standard '!D96)</f>
        <v/>
      </c>
      <c r="E96" s="75" t="str">
        <f>IF('[1]367 Community DI with Standard '!$C96="","",'[1]367 Community DI with Standard '!E96)</f>
        <v/>
      </c>
      <c r="F96" s="75" t="str">
        <f>IF('[1]367 Community DI with Standard '!$C96="","",'[1]367 Community DI with Standard '!F96)</f>
        <v/>
      </c>
      <c r="G96" s="75" t="str">
        <f>IF('[1]367 Community DI with Standard '!$C96="","",'[1]367 Community DI with Standard '!G96)</f>
        <v/>
      </c>
      <c r="H96" s="75" t="str">
        <f>IF('[1]367 Community DI with Standard '!$C96="","",'[1]367 Community DI with Standard '!H96)</f>
        <v/>
      </c>
      <c r="I96" s="63" t="str">
        <f t="shared" si="9"/>
        <v/>
      </c>
      <c r="J96" s="63" t="str">
        <f t="shared" si="6"/>
        <v/>
      </c>
      <c r="K96" s="63" t="str">
        <f t="shared" si="7"/>
        <v/>
      </c>
      <c r="L96" s="66" t="str">
        <f t="shared" si="10"/>
        <v/>
      </c>
      <c r="M96" s="66" t="str">
        <f t="shared" si="8"/>
        <v/>
      </c>
      <c r="N96" s="64"/>
      <c r="O96" s="64"/>
    </row>
    <row r="97" spans="1:15" s="65" customFormat="1" ht="16" hidden="1" customHeight="1">
      <c r="A97" s="62"/>
      <c r="B97" s="75" t="str">
        <f>IF('[1]367 Community DI with Standard '!B97=0,"",'[1]367 Community DI with Standard '!B97)</f>
        <v/>
      </c>
      <c r="C97" s="75" t="str">
        <f>IF('[1]367 Community DI with Standard '!C97=0,"",'[1]367 Community DI with Standard '!C97)</f>
        <v/>
      </c>
      <c r="D97" s="75" t="str">
        <f>IF('[1]367 Community DI with Standard '!$C97="","",'[1]367 Community DI with Standard '!D97)</f>
        <v/>
      </c>
      <c r="E97" s="75" t="str">
        <f>IF('[1]367 Community DI with Standard '!$C97="","",'[1]367 Community DI with Standard '!E97)</f>
        <v/>
      </c>
      <c r="F97" s="75" t="str">
        <f>IF('[1]367 Community DI with Standard '!$C97="","",'[1]367 Community DI with Standard '!F97)</f>
        <v/>
      </c>
      <c r="G97" s="75" t="str">
        <f>IF('[1]367 Community DI with Standard '!$C97="","",'[1]367 Community DI with Standard '!G97)</f>
        <v/>
      </c>
      <c r="H97" s="75" t="str">
        <f>IF('[1]367 Community DI with Standard '!$C97="","",'[1]367 Community DI with Standard '!H97)</f>
        <v/>
      </c>
      <c r="I97" s="63" t="str">
        <f t="shared" si="9"/>
        <v/>
      </c>
      <c r="J97" s="63" t="str">
        <f t="shared" si="6"/>
        <v/>
      </c>
      <c r="K97" s="63" t="str">
        <f t="shared" si="7"/>
        <v/>
      </c>
      <c r="L97" s="66" t="str">
        <f t="shared" si="10"/>
        <v/>
      </c>
      <c r="M97" s="66" t="str">
        <f t="shared" si="8"/>
        <v/>
      </c>
      <c r="N97" s="64"/>
      <c r="O97" s="64"/>
    </row>
    <row r="98" spans="1:15" s="65" customFormat="1" ht="16" hidden="1" customHeight="1">
      <c r="A98" s="62"/>
      <c r="B98" s="75" t="str">
        <f>IF('[1]367 Community DI with Standard '!B98=0,"",'[1]367 Community DI with Standard '!B98)</f>
        <v/>
      </c>
      <c r="C98" s="75" t="str">
        <f>IF('[1]367 Community DI with Standard '!C98=0,"",'[1]367 Community DI with Standard '!C98)</f>
        <v/>
      </c>
      <c r="D98" s="75" t="str">
        <f>IF('[1]367 Community DI with Standard '!$C98="","",'[1]367 Community DI with Standard '!D98)</f>
        <v/>
      </c>
      <c r="E98" s="75" t="str">
        <f>IF('[1]367 Community DI with Standard '!$C98="","",'[1]367 Community DI with Standard '!E98)</f>
        <v/>
      </c>
      <c r="F98" s="75" t="str">
        <f>IF('[1]367 Community DI with Standard '!$C98="","",'[1]367 Community DI with Standard '!F98)</f>
        <v/>
      </c>
      <c r="G98" s="75" t="str">
        <f>IF('[1]367 Community DI with Standard '!$C98="","",'[1]367 Community DI with Standard '!G98)</f>
        <v/>
      </c>
      <c r="H98" s="75" t="str">
        <f>IF('[1]367 Community DI with Standard '!$C98="","",'[1]367 Community DI with Standard '!H98)</f>
        <v/>
      </c>
      <c r="I98" s="63" t="str">
        <f t="shared" si="9"/>
        <v/>
      </c>
      <c r="J98" s="63" t="str">
        <f t="shared" si="6"/>
        <v/>
      </c>
      <c r="K98" s="63" t="str">
        <f t="shared" si="7"/>
        <v/>
      </c>
      <c r="L98" s="66" t="str">
        <f t="shared" si="10"/>
        <v/>
      </c>
      <c r="M98" s="66" t="str">
        <f t="shared" si="8"/>
        <v/>
      </c>
      <c r="N98" s="64"/>
      <c r="O98" s="64"/>
    </row>
    <row r="99" spans="1:15" s="65" customFormat="1" ht="16" hidden="1" customHeight="1">
      <c r="A99" s="62"/>
      <c r="B99" s="75" t="str">
        <f>IF('[1]367 Community DI with Standard '!B99=0,"",'[1]367 Community DI with Standard '!B99)</f>
        <v/>
      </c>
      <c r="C99" s="75" t="str">
        <f>IF('[1]367 Community DI with Standard '!C99=0,"",'[1]367 Community DI with Standard '!C99)</f>
        <v/>
      </c>
      <c r="D99" s="75" t="str">
        <f>IF('[1]367 Community DI with Standard '!$C99="","",'[1]367 Community DI with Standard '!D99)</f>
        <v/>
      </c>
      <c r="E99" s="75" t="str">
        <f>IF('[1]367 Community DI with Standard '!$C99="","",'[1]367 Community DI with Standard '!E99)</f>
        <v/>
      </c>
      <c r="F99" s="75" t="str">
        <f>IF('[1]367 Community DI with Standard '!$C99="","",'[1]367 Community DI with Standard '!F99)</f>
        <v/>
      </c>
      <c r="G99" s="75" t="str">
        <f>IF('[1]367 Community DI with Standard '!$C99="","",'[1]367 Community DI with Standard '!G99)</f>
        <v/>
      </c>
      <c r="H99" s="75" t="str">
        <f>IF('[1]367 Community DI with Standard '!$C99="","",'[1]367 Community DI with Standard '!H99)</f>
        <v/>
      </c>
      <c r="I99" s="63" t="str">
        <f t="shared" si="9"/>
        <v/>
      </c>
      <c r="J99" s="63" t="str">
        <f t="shared" si="6"/>
        <v/>
      </c>
      <c r="K99" s="63" t="str">
        <f t="shared" si="7"/>
        <v/>
      </c>
      <c r="L99" s="66" t="str">
        <f t="shared" si="10"/>
        <v/>
      </c>
      <c r="M99" s="66" t="str">
        <f t="shared" si="8"/>
        <v/>
      </c>
      <c r="N99" s="64"/>
      <c r="O99" s="64"/>
    </row>
    <row r="100" spans="1:15" hidden="1">
      <c r="A100" s="14"/>
      <c r="B100" s="59"/>
      <c r="C100" s="59"/>
      <c r="D100" s="59"/>
      <c r="E100" s="59"/>
      <c r="F100" s="59"/>
      <c r="G100" s="59"/>
      <c r="H100" s="59"/>
      <c r="I100" s="63"/>
      <c r="J100" s="59"/>
      <c r="K100" s="59"/>
      <c r="L100" s="14"/>
      <c r="M100" s="14"/>
    </row>
    <row r="101" spans="1:15">
      <c r="A101" s="14"/>
      <c r="B101" s="59"/>
      <c r="C101" s="59"/>
      <c r="D101" s="59"/>
      <c r="E101" s="59"/>
      <c r="F101" s="59"/>
      <c r="G101" s="59"/>
      <c r="H101" s="59"/>
      <c r="I101" s="59"/>
      <c r="J101" s="59"/>
      <c r="K101" s="59"/>
      <c r="L101" s="14"/>
      <c r="M101" s="14"/>
    </row>
    <row r="102" spans="1:15">
      <c r="A102" s="14"/>
      <c r="B102" s="59"/>
      <c r="C102" s="59"/>
      <c r="D102" s="59"/>
      <c r="E102" s="59"/>
      <c r="F102" s="59"/>
      <c r="G102" s="59"/>
      <c r="H102" s="59"/>
      <c r="I102" s="59"/>
      <c r="J102" s="59"/>
      <c r="K102" s="59"/>
      <c r="L102" s="14"/>
      <c r="M102" s="14"/>
    </row>
    <row r="103" spans="1:15">
      <c r="A103" s="14"/>
      <c r="B103" s="59"/>
      <c r="C103" s="59"/>
      <c r="D103" s="59"/>
      <c r="E103" s="59"/>
      <c r="F103" s="59"/>
      <c r="G103" s="59"/>
      <c r="H103" s="59"/>
      <c r="I103" s="59"/>
      <c r="J103" s="59"/>
      <c r="K103" s="59"/>
      <c r="L103" s="14"/>
      <c r="M103" s="14"/>
    </row>
    <row r="104" spans="1:15">
      <c r="A104" s="14"/>
      <c r="B104" s="59"/>
      <c r="C104" s="59"/>
      <c r="D104" s="59"/>
      <c r="E104" s="59"/>
      <c r="F104" s="59"/>
      <c r="G104" s="59"/>
      <c r="H104" s="59"/>
      <c r="I104" s="59"/>
      <c r="J104" s="59"/>
      <c r="K104" s="59"/>
      <c r="L104" s="14"/>
      <c r="M104" s="14"/>
    </row>
    <row r="105" spans="1:15">
      <c r="A105" s="14"/>
      <c r="B105" s="59"/>
      <c r="C105" s="59"/>
      <c r="D105" s="59"/>
      <c r="E105" s="59"/>
      <c r="F105" s="59"/>
      <c r="G105" s="59"/>
      <c r="H105" s="59"/>
      <c r="I105" s="59"/>
      <c r="J105" s="59"/>
      <c r="K105" s="59"/>
      <c r="L105" s="14"/>
      <c r="M105" s="14"/>
    </row>
    <row r="106" spans="1:15">
      <c r="A106" s="14"/>
      <c r="B106" s="59"/>
      <c r="C106" s="59"/>
      <c r="D106" s="59"/>
      <c r="E106" s="59"/>
      <c r="F106" s="59"/>
      <c r="G106" s="59"/>
      <c r="H106" s="59"/>
      <c r="I106" s="59"/>
      <c r="J106" s="59"/>
      <c r="K106" s="59"/>
      <c r="L106" s="14"/>
      <c r="M106" s="14"/>
    </row>
    <row r="107" spans="1:15">
      <c r="A107" s="14"/>
      <c r="B107" s="59"/>
      <c r="C107" s="59"/>
      <c r="D107" s="59"/>
      <c r="E107" s="59"/>
      <c r="F107" s="59"/>
      <c r="G107" s="59"/>
      <c r="H107" s="59"/>
      <c r="I107" s="59"/>
      <c r="J107" s="59"/>
      <c r="K107" s="59"/>
      <c r="L107" s="14"/>
      <c r="M107" s="14"/>
    </row>
    <row r="108" spans="1:15">
      <c r="A108" s="14"/>
      <c r="B108" s="59"/>
      <c r="C108" s="59"/>
      <c r="D108" s="59"/>
      <c r="E108" s="59"/>
      <c r="F108" s="59"/>
      <c r="G108" s="59"/>
      <c r="H108" s="59"/>
      <c r="I108" s="59"/>
      <c r="J108" s="59"/>
      <c r="K108" s="59"/>
      <c r="L108" s="14"/>
      <c r="M108" s="14"/>
    </row>
    <row r="109" spans="1:15">
      <c r="A109" s="14"/>
      <c r="B109" s="59"/>
      <c r="C109" s="59"/>
      <c r="D109" s="59"/>
      <c r="E109" s="59"/>
      <c r="F109" s="59"/>
      <c r="G109" s="59"/>
      <c r="H109" s="59"/>
      <c r="I109" s="59"/>
      <c r="J109" s="59"/>
      <c r="K109" s="59"/>
      <c r="L109" s="14"/>
      <c r="M109" s="14"/>
    </row>
    <row r="110" spans="1:15">
      <c r="A110" s="14"/>
      <c r="B110" s="59"/>
      <c r="C110" s="59"/>
      <c r="D110" s="59"/>
      <c r="E110" s="59"/>
      <c r="F110" s="59"/>
      <c r="G110" s="59"/>
      <c r="H110" s="59"/>
      <c r="I110" s="59"/>
      <c r="J110" s="59"/>
      <c r="K110" s="59"/>
      <c r="L110" s="14"/>
      <c r="M110" s="14"/>
    </row>
    <row r="111" spans="1:15">
      <c r="A111" s="14"/>
      <c r="B111" s="59"/>
      <c r="C111" s="59"/>
      <c r="D111" s="59"/>
      <c r="E111" s="59"/>
      <c r="F111" s="59"/>
      <c r="G111" s="59"/>
      <c r="H111" s="59"/>
      <c r="I111" s="59"/>
      <c r="J111" s="59"/>
      <c r="K111" s="59"/>
      <c r="L111" s="14"/>
      <c r="M111" s="14"/>
    </row>
    <row r="112" spans="1:15">
      <c r="A112" s="14"/>
      <c r="B112" s="59"/>
      <c r="C112" s="59"/>
      <c r="D112" s="59"/>
      <c r="E112" s="59"/>
      <c r="F112" s="59"/>
      <c r="G112" s="59"/>
      <c r="H112" s="59"/>
      <c r="I112" s="59"/>
      <c r="J112" s="59"/>
      <c r="K112" s="59"/>
      <c r="L112" s="14"/>
      <c r="M112" s="14"/>
    </row>
    <row r="113" spans="1:13">
      <c r="A113" s="14"/>
      <c r="B113" s="59"/>
      <c r="C113" s="59"/>
      <c r="D113" s="59"/>
      <c r="E113" s="59"/>
      <c r="F113" s="59"/>
      <c r="G113" s="59"/>
      <c r="H113" s="59"/>
      <c r="I113" s="59"/>
      <c r="J113" s="59"/>
      <c r="K113" s="59"/>
      <c r="L113" s="14"/>
      <c r="M113" s="14"/>
    </row>
    <row r="114" spans="1:13">
      <c r="A114" s="14"/>
      <c r="B114" s="59"/>
      <c r="C114" s="59"/>
      <c r="D114" s="59"/>
      <c r="E114" s="59"/>
      <c r="F114" s="59"/>
      <c r="G114" s="59"/>
      <c r="H114" s="59"/>
      <c r="I114" s="59"/>
      <c r="J114" s="59"/>
      <c r="K114" s="59"/>
      <c r="L114" s="14"/>
      <c r="M114" s="14"/>
    </row>
    <row r="115" spans="1:13">
      <c r="A115" s="14"/>
      <c r="B115" s="59"/>
      <c r="C115" s="59"/>
      <c r="D115" s="59"/>
      <c r="E115" s="59"/>
      <c r="F115" s="59"/>
      <c r="G115" s="59"/>
      <c r="H115" s="59"/>
      <c r="I115" s="59"/>
      <c r="J115" s="59"/>
      <c r="K115" s="59"/>
      <c r="L115" s="14"/>
      <c r="M115" s="14"/>
    </row>
    <row r="116" spans="1:13">
      <c r="A116" s="14"/>
      <c r="B116" s="59"/>
      <c r="C116" s="59"/>
      <c r="D116" s="59"/>
      <c r="E116" s="59"/>
      <c r="F116" s="59"/>
      <c r="G116" s="59"/>
      <c r="H116" s="59"/>
      <c r="I116" s="59"/>
      <c r="J116" s="59"/>
      <c r="K116" s="59"/>
      <c r="L116" s="14"/>
      <c r="M116" s="14"/>
    </row>
    <row r="117" spans="1:13">
      <c r="A117" s="14"/>
      <c r="B117" s="59"/>
      <c r="C117" s="59"/>
      <c r="D117" s="59"/>
      <c r="E117" s="59"/>
      <c r="F117" s="59"/>
      <c r="G117" s="59"/>
      <c r="H117" s="59"/>
      <c r="I117" s="59"/>
      <c r="J117" s="59"/>
      <c r="K117" s="59"/>
      <c r="L117" s="14"/>
      <c r="M117" s="14"/>
    </row>
    <row r="118" spans="1:13">
      <c r="A118" s="14"/>
      <c r="B118" s="59"/>
      <c r="C118" s="59"/>
      <c r="D118" s="59"/>
      <c r="E118" s="59"/>
      <c r="F118" s="59"/>
      <c r="G118" s="59"/>
      <c r="H118" s="59"/>
      <c r="I118" s="59"/>
      <c r="J118" s="59"/>
      <c r="K118" s="59"/>
      <c r="L118" s="14"/>
      <c r="M118" s="14"/>
    </row>
    <row r="119" spans="1:13">
      <c r="A119" s="14"/>
      <c r="B119" s="59"/>
      <c r="C119" s="59"/>
      <c r="D119" s="59"/>
      <c r="E119" s="59"/>
      <c r="F119" s="59"/>
      <c r="G119" s="59"/>
      <c r="H119" s="59"/>
      <c r="I119" s="59"/>
      <c r="J119" s="59"/>
      <c r="K119" s="59"/>
      <c r="L119" s="14"/>
      <c r="M119" s="14"/>
    </row>
    <row r="120" spans="1:13">
      <c r="A120" s="14"/>
      <c r="B120" s="59"/>
      <c r="C120" s="59"/>
      <c r="D120" s="59"/>
      <c r="E120" s="59"/>
      <c r="F120" s="59"/>
      <c r="G120" s="59"/>
      <c r="H120" s="59"/>
      <c r="I120" s="59"/>
      <c r="J120" s="59"/>
      <c r="K120" s="59"/>
      <c r="L120" s="14"/>
      <c r="M120" s="14"/>
    </row>
    <row r="121" spans="1:13">
      <c r="A121" s="14"/>
      <c r="B121" s="59"/>
      <c r="C121" s="59"/>
      <c r="D121" s="59"/>
      <c r="E121" s="59"/>
      <c r="F121" s="59"/>
      <c r="G121" s="59"/>
      <c r="H121" s="59"/>
      <c r="I121" s="59"/>
      <c r="J121" s="59"/>
      <c r="K121" s="59"/>
      <c r="L121" s="14"/>
      <c r="M121" s="14"/>
    </row>
    <row r="122" spans="1:13">
      <c r="A122" s="14"/>
      <c r="B122" s="59"/>
      <c r="C122" s="59"/>
      <c r="D122" s="59"/>
      <c r="E122" s="59"/>
      <c r="F122" s="59"/>
      <c r="G122" s="59"/>
      <c r="H122" s="59"/>
      <c r="I122" s="59"/>
      <c r="J122" s="59"/>
      <c r="K122" s="59"/>
      <c r="L122" s="14"/>
      <c r="M122" s="14"/>
    </row>
    <row r="123" spans="1:13">
      <c r="A123" s="14"/>
      <c r="B123" s="59"/>
      <c r="C123" s="59"/>
      <c r="D123" s="59"/>
      <c r="E123" s="59"/>
      <c r="F123" s="59"/>
      <c r="G123" s="59"/>
      <c r="H123" s="59"/>
      <c r="I123" s="59"/>
      <c r="J123" s="59"/>
      <c r="K123" s="59"/>
      <c r="L123" s="14"/>
      <c r="M123" s="14"/>
    </row>
    <row r="124" spans="1:13" ht="17" customHeight="1">
      <c r="A124" s="14"/>
      <c r="B124" s="59"/>
      <c r="C124" s="59"/>
      <c r="D124" s="59"/>
      <c r="E124" s="59"/>
      <c r="F124" s="59"/>
      <c r="G124" s="59"/>
      <c r="H124" s="59"/>
      <c r="I124" s="59"/>
      <c r="J124" s="59"/>
      <c r="K124" s="59"/>
      <c r="L124" s="14"/>
      <c r="M124" s="14"/>
    </row>
    <row r="125" spans="1:13" ht="17" customHeight="1"/>
    <row r="126" spans="1:13" ht="17" customHeight="1"/>
    <row r="127" spans="1:13" ht="17" customHeight="1"/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EBDAA-E0C8-2748-89DE-E96190DC4B1B}">
  <sheetPr codeName="Sheet6"/>
  <dimension ref="A1:K124"/>
  <sheetViews>
    <sheetView workbookViewId="0">
      <selection activeCell="A9" sqref="A9"/>
    </sheetView>
  </sheetViews>
  <sheetFormatPr baseColWidth="10" defaultRowHeight="16"/>
  <cols>
    <col min="1" max="1" width="31.33203125" customWidth="1"/>
    <col min="2" max="2" width="19.6640625" customWidth="1"/>
    <col min="3" max="6" width="22.5" style="5" customWidth="1"/>
    <col min="7" max="7" width="21.5" style="5" customWidth="1"/>
    <col min="8" max="8" width="22.5" style="5" customWidth="1"/>
    <col min="11" max="11" width="19.33203125" customWidth="1"/>
    <col min="12" max="12" width="19" customWidth="1"/>
  </cols>
  <sheetData>
    <row r="1" spans="1:11" s="68" customFormat="1" ht="40">
      <c r="A1" s="76" t="str">
        <f>'[1]368 Community Cash Income'!$A$1</f>
        <v>LZ</v>
      </c>
      <c r="B1" s="76" t="str">
        <f>'[1]368 Community Cash Income'!$B$1</f>
        <v>Community</v>
      </c>
      <c r="C1" s="69" t="str">
        <f>'[1]368 Community Cash Income'!$C$1</f>
        <v>Wealthgroup</v>
      </c>
      <c r="D1" s="69" t="str">
        <f>'[1]368 Community Cash Income'!$D$1</f>
        <v>Crop Cash Income</v>
      </c>
      <c r="E1" s="69" t="str">
        <f>'[1]368 Community Cash Income'!$E$1</f>
        <v>Employment Cash Income</v>
      </c>
      <c r="F1" s="69" t="str">
        <f>'[1]368 Community Cash Income'!$F$1</f>
        <v>Livestock Cash Income</v>
      </c>
      <c r="G1" s="69" t="str">
        <f>'[1]368 Community Cash Income'!$G$1</f>
        <v>Transfer Cash Income</v>
      </c>
      <c r="H1" s="69" t="str">
        <f>'[1]368 Community Cash Income'!$H$1</f>
        <v>Wildfood Cash Income</v>
      </c>
      <c r="I1" s="69"/>
    </row>
    <row r="2" spans="1:11">
      <c r="B2" s="1"/>
      <c r="C2" s="4"/>
      <c r="D2" s="4"/>
      <c r="E2" s="4"/>
      <c r="F2" s="4"/>
      <c r="G2" s="4"/>
      <c r="H2" s="4"/>
      <c r="I2" s="4"/>
    </row>
    <row r="3" spans="1:11">
      <c r="A3" s="1" t="str">
        <f>'[1]368 Community Cash Income'!$A$7</f>
        <v>Banana Coffee Piggery</v>
      </c>
      <c r="B3" s="1" t="str">
        <f>'[1]368 Community Cash Income'!$B$3</f>
        <v>Averages</v>
      </c>
      <c r="C3" s="4" t="str">
        <f>'[1]368 Community Cash Income'!C$3</f>
        <v>Poor</v>
      </c>
      <c r="D3" s="4">
        <f>'[1]368 Community Cash Income'!D$3</f>
        <v>213151</v>
      </c>
      <c r="E3" s="4">
        <f>'[1]368 Community Cash Income'!E$3</f>
        <v>2033250</v>
      </c>
      <c r="F3" s="4">
        <f>'[1]368 Community Cash Income'!F$3</f>
        <v>245250</v>
      </c>
      <c r="G3" s="4">
        <f>'[1]368 Community Cash Income'!G$3</f>
        <v>0</v>
      </c>
      <c r="H3" s="4">
        <f>'[1]368 Community Cash Income'!H$3</f>
        <v>8000</v>
      </c>
      <c r="I3" s="4"/>
    </row>
    <row r="4" spans="1:11">
      <c r="C4" s="4" t="str">
        <f>'[1]368 Community Cash Income'!C$4</f>
        <v>Middle</v>
      </c>
      <c r="D4" s="4">
        <f>'[1]368 Community Cash Income'!D$4</f>
        <v>1179080</v>
      </c>
      <c r="E4" s="4">
        <f>'[1]368 Community Cash Income'!E$4</f>
        <v>10495400</v>
      </c>
      <c r="F4" s="4">
        <f>'[1]368 Community Cash Income'!F$4</f>
        <v>2030450</v>
      </c>
      <c r="G4" s="4">
        <f>'[1]368 Community Cash Income'!G$4</f>
        <v>150000</v>
      </c>
      <c r="H4" s="4">
        <f>'[1]368 Community Cash Income'!H$4</f>
        <v>3562500</v>
      </c>
      <c r="I4" s="4"/>
      <c r="J4" s="3" t="s">
        <v>39</v>
      </c>
    </row>
    <row r="5" spans="1:11">
      <c r="A5" t="s">
        <v>43</v>
      </c>
      <c r="C5" s="4" t="str">
        <f>'[1]368 Community Cash Income'!C$5</f>
        <v>Better Off</v>
      </c>
      <c r="D5" s="4">
        <f>'[1]368 Community Cash Income'!D$5</f>
        <v>3157059.5</v>
      </c>
      <c r="E5" s="4">
        <f>'[1]368 Community Cash Income'!E$5</f>
        <v>1174912.5</v>
      </c>
      <c r="F5" s="4">
        <f>'[1]368 Community Cash Income'!F$5</f>
        <v>3346000</v>
      </c>
      <c r="G5" s="4">
        <f>'[1]368 Community Cash Income'!G$5</f>
        <v>0</v>
      </c>
      <c r="H5" s="4">
        <f>'[1]368 Community Cash Income'!H$5</f>
        <v>0</v>
      </c>
      <c r="I5" s="4"/>
      <c r="J5" s="2">
        <f>DI_No_of_WGs</f>
        <v>12</v>
      </c>
    </row>
    <row r="6" spans="1:11">
      <c r="A6" s="78" t="str">
        <f>_xlfn.CONCAT(A3," LZ, Average Cash Income (",Summary!C6,")")</f>
        <v>Banana Coffee Piggery LZ, Average Cash Income (UGX)</v>
      </c>
      <c r="C6" s="4"/>
      <c r="D6" s="4"/>
      <c r="E6" s="4"/>
      <c r="F6" s="4"/>
      <c r="G6" s="4"/>
      <c r="H6" s="4"/>
      <c r="I6" s="4"/>
      <c r="K6" s="2"/>
    </row>
    <row r="7" spans="1:11">
      <c r="B7" s="4" t="str">
        <f>IF('[1]368 Community Cash Income'!B7=0,"",'[1]368 Community Cash Income'!B7)</f>
        <v>Mukono Butere</v>
      </c>
      <c r="C7" s="4" t="str">
        <f>IF('[1]368 Community Cash Income'!$C7=0,"",'[1]368 Community Cash Income'!C7)</f>
        <v>Poor</v>
      </c>
      <c r="D7" s="4">
        <f>IF('[1]368 Community Cash Income'!$C7=0,"",'[1]368 Community Cash Income'!D7)</f>
        <v>0</v>
      </c>
      <c r="E7" s="4">
        <f>IF('[1]368 Community Cash Income'!$C7=0,"",'[1]368 Community Cash Income'!E7)</f>
        <v>7400000</v>
      </c>
      <c r="F7" s="4">
        <f>IF('[1]368 Community Cash Income'!$C7=0,"",'[1]368 Community Cash Income'!F7)</f>
        <v>0</v>
      </c>
      <c r="G7" s="4">
        <f>IF('[1]368 Community Cash Income'!$C7=0,"",'[1]368 Community Cash Income'!G7)</f>
        <v>0</v>
      </c>
      <c r="H7" s="4">
        <f>IF('[1]368 Community Cash Income'!$C7=0,"",'[1]368 Community Cash Income'!H7)</f>
        <v>0</v>
      </c>
      <c r="I7" s="4"/>
    </row>
    <row r="8" spans="1:11">
      <c r="A8" t="s">
        <v>44</v>
      </c>
      <c r="B8" s="4" t="str">
        <f>IF('[1]368 Community Cash Income'!B8=0,"",'[1]368 Community Cash Income'!B8)</f>
        <v/>
      </c>
      <c r="C8" s="4" t="str">
        <f>IF('[1]368 Community Cash Income'!C8=0,"",'[1]368 Community Cash Income'!C8)</f>
        <v>Middle</v>
      </c>
      <c r="D8" s="4">
        <f>IF('[1]368 Community Cash Income'!$C8=0,"",'[1]368 Community Cash Income'!D8)</f>
        <v>0</v>
      </c>
      <c r="E8" s="4">
        <f>IF('[1]368 Community Cash Income'!$C8=0,"",'[1]368 Community Cash Income'!E8)</f>
        <v>19468800</v>
      </c>
      <c r="F8" s="4">
        <f>IF('[1]368 Community Cash Income'!$C8=0,"",'[1]368 Community Cash Income'!F8)</f>
        <v>1490000</v>
      </c>
      <c r="G8" s="4">
        <f>IF('[1]368 Community Cash Income'!$C8=0,"",'[1]368 Community Cash Income'!G8)</f>
        <v>0</v>
      </c>
      <c r="H8" s="4">
        <f>IF('[1]368 Community Cash Income'!$C8=0,"",'[1]368 Community Cash Income'!H8)</f>
        <v>7125000</v>
      </c>
      <c r="I8" s="4"/>
    </row>
    <row r="9" spans="1:11">
      <c r="A9" t="str">
        <f>_xlfn.CONCAT(A3," LZ, Cash Income (",Summary!C6,")")</f>
        <v>Banana Coffee Piggery LZ, Cash Income (UGX)</v>
      </c>
      <c r="B9" s="4" t="str">
        <f>IF('[1]368 Community Cash Income'!B9=0,"",'[1]368 Community Cash Income'!B9)</f>
        <v/>
      </c>
      <c r="C9" s="4" t="str">
        <f>IF('[1]368 Community Cash Income'!C9=0,"",'[1]368 Community Cash Income'!C9)</f>
        <v>Better Off</v>
      </c>
      <c r="D9" s="4">
        <f>IF('[1]368 Community Cash Income'!$C9=0,"",'[1]368 Community Cash Income'!D9)</f>
        <v>1696000</v>
      </c>
      <c r="E9" s="4">
        <f>IF('[1]368 Community Cash Income'!$C9=0,"",'[1]368 Community Cash Income'!E9)</f>
        <v>468000</v>
      </c>
      <c r="F9" s="4">
        <f>IF('[1]368 Community Cash Income'!$C9=0,"",'[1]368 Community Cash Income'!F9)</f>
        <v>440000</v>
      </c>
      <c r="G9" s="4">
        <f>IF('[1]368 Community Cash Income'!$C9=0,"",'[1]368 Community Cash Income'!G9)</f>
        <v>0</v>
      </c>
      <c r="H9" s="4">
        <f>IF('[1]368 Community Cash Income'!$C9=0,"",'[1]368 Community Cash Income'!H9)</f>
        <v>0</v>
      </c>
      <c r="I9" s="4"/>
    </row>
    <row r="10" spans="1:11">
      <c r="B10" s="4" t="str">
        <f>IF('[1]368 Community Cash Income'!B10=0,"",'[1]368 Community Cash Income'!B10)</f>
        <v>Mukono Lusera</v>
      </c>
      <c r="C10" s="4" t="str">
        <f>IF('[1]368 Community Cash Income'!C10=0,"",'[1]368 Community Cash Income'!C10)</f>
        <v>Poor</v>
      </c>
      <c r="D10" s="4">
        <f>IF('[1]368 Community Cash Income'!$C10=0,"",'[1]368 Community Cash Income'!D10)</f>
        <v>849804</v>
      </c>
      <c r="E10" s="4">
        <f>IF('[1]368 Community Cash Income'!$C10=0,"",'[1]368 Community Cash Income'!E10)</f>
        <v>270000</v>
      </c>
      <c r="F10" s="4">
        <f>IF('[1]368 Community Cash Income'!$C10=0,"",'[1]368 Community Cash Income'!F10)</f>
        <v>30000</v>
      </c>
      <c r="G10" s="4">
        <f>IF('[1]368 Community Cash Income'!$C10=0,"",'[1]368 Community Cash Income'!G10)</f>
        <v>0</v>
      </c>
      <c r="H10" s="4">
        <f>IF('[1]368 Community Cash Income'!$C10=0,"",'[1]368 Community Cash Income'!H10)</f>
        <v>0</v>
      </c>
      <c r="I10" s="4"/>
    </row>
    <row r="11" spans="1:11">
      <c r="B11" s="4" t="str">
        <f>IF('[1]368 Community Cash Income'!B11=0,"",'[1]368 Community Cash Income'!B11)</f>
        <v/>
      </c>
      <c r="C11" s="4" t="str">
        <f>IF('[1]368 Community Cash Income'!C11=0,"",'[1]368 Community Cash Income'!C11)</f>
        <v>Middle</v>
      </c>
      <c r="D11" s="4">
        <f>IF('[1]368 Community Cash Income'!$C11=0,"",'[1]368 Community Cash Income'!D11)</f>
        <v>2178160</v>
      </c>
      <c r="E11" s="4">
        <f>IF('[1]368 Community Cash Income'!$C11=0,"",'[1]368 Community Cash Income'!E11)</f>
        <v>70000</v>
      </c>
      <c r="F11" s="4">
        <f>IF('[1]368 Community Cash Income'!$C11=0,"",'[1]368 Community Cash Income'!F11)</f>
        <v>951000</v>
      </c>
      <c r="G11" s="4">
        <f>IF('[1]368 Community Cash Income'!$C11=0,"",'[1]368 Community Cash Income'!G11)</f>
        <v>0</v>
      </c>
      <c r="H11" s="4">
        <f>IF('[1]368 Community Cash Income'!$C11=0,"",'[1]368 Community Cash Income'!H11)</f>
        <v>0</v>
      </c>
      <c r="I11" s="4"/>
    </row>
    <row r="12" spans="1:11">
      <c r="B12" s="4" t="str">
        <f>IF('[1]368 Community Cash Income'!B12=0,"",'[1]368 Community Cash Income'!B12)</f>
        <v/>
      </c>
      <c r="C12" s="4" t="str">
        <f>IF('[1]368 Community Cash Income'!C12=0,"",'[1]368 Community Cash Income'!C12)</f>
        <v>Better Off</v>
      </c>
      <c r="D12" s="4">
        <f>IF('[1]368 Community Cash Income'!$C12=0,"",'[1]368 Community Cash Income'!D12)</f>
        <v>6230</v>
      </c>
      <c r="E12" s="4">
        <f>IF('[1]368 Community Cash Income'!$C12=0,"",'[1]368 Community Cash Income'!E12)</f>
        <v>0</v>
      </c>
      <c r="F12" s="4">
        <f>IF('[1]368 Community Cash Income'!$C12=0,"",'[1]368 Community Cash Income'!F12)</f>
        <v>2770000</v>
      </c>
      <c r="G12" s="4">
        <f>IF('[1]368 Community Cash Income'!$C12=0,"",'[1]368 Community Cash Income'!G12)</f>
        <v>0</v>
      </c>
      <c r="H12" s="4">
        <f>IF('[1]368 Community Cash Income'!$C12=0,"",'[1]368 Community Cash Income'!H12)</f>
        <v>0</v>
      </c>
      <c r="I12" s="4"/>
    </row>
    <row r="13" spans="1:11">
      <c r="B13" s="4" t="str">
        <f>IF('[1]368 Community Cash Income'!B13=0,"",'[1]368 Community Cash Income'!B13)</f>
        <v>Mukono Nakisunga</v>
      </c>
      <c r="C13" s="4" t="str">
        <f>IF('[1]368 Community Cash Income'!C13=0,"",'[1]368 Community Cash Income'!C13)</f>
        <v>Poor</v>
      </c>
      <c r="D13" s="4">
        <f>IF('[1]368 Community Cash Income'!$C13=0,"",'[1]368 Community Cash Income'!D13)</f>
        <v>2800</v>
      </c>
      <c r="E13" s="4">
        <f>IF('[1]368 Community Cash Income'!$C13=0,"",'[1]368 Community Cash Income'!E13)</f>
        <v>30000</v>
      </c>
      <c r="F13" s="4">
        <f>IF('[1]368 Community Cash Income'!$C13=0,"",'[1]368 Community Cash Income'!F13)</f>
        <v>951000</v>
      </c>
      <c r="G13" s="4">
        <f>IF('[1]368 Community Cash Income'!$C13=0,"",'[1]368 Community Cash Income'!G13)</f>
        <v>0</v>
      </c>
      <c r="H13" s="4">
        <f>IF('[1]368 Community Cash Income'!$C13=0,"",'[1]368 Community Cash Income'!H13)</f>
        <v>0</v>
      </c>
      <c r="I13" s="4"/>
    </row>
    <row r="14" spans="1:11">
      <c r="B14" s="4" t="str">
        <f>IF('[1]368 Community Cash Income'!B14=0,"",'[1]368 Community Cash Income'!B14)</f>
        <v/>
      </c>
      <c r="C14" s="4" t="str">
        <f>IF('[1]368 Community Cash Income'!C14=0,"",'[1]368 Community Cash Income'!C14)</f>
        <v>Middle</v>
      </c>
      <c r="D14" s="4">
        <f>IF('[1]368 Community Cash Income'!$C14=0,"",'[1]368 Community Cash Income'!D14)</f>
        <v>2538160</v>
      </c>
      <c r="E14" s="4">
        <f>IF('[1]368 Community Cash Income'!$C14=0,"",'[1]368 Community Cash Income'!E14)</f>
        <v>2974000</v>
      </c>
      <c r="F14" s="4">
        <f>IF('[1]368 Community Cash Income'!$C14=0,"",'[1]368 Community Cash Income'!F14)</f>
        <v>4190800</v>
      </c>
      <c r="G14" s="4">
        <f>IF('[1]368 Community Cash Income'!$C14=0,"",'[1]368 Community Cash Income'!G14)</f>
        <v>600000</v>
      </c>
      <c r="H14" s="4">
        <f>IF('[1]368 Community Cash Income'!$C14=0,"",'[1]368 Community Cash Income'!H14)</f>
        <v>0</v>
      </c>
      <c r="I14" s="4"/>
    </row>
    <row r="15" spans="1:11">
      <c r="B15" s="4" t="str">
        <f>IF('[1]368 Community Cash Income'!B15=0,"",'[1]368 Community Cash Income'!B15)</f>
        <v/>
      </c>
      <c r="C15" s="4" t="str">
        <f>IF('[1]368 Community Cash Income'!C15=0,"",'[1]368 Community Cash Income'!C15)</f>
        <v>Better Off</v>
      </c>
      <c r="D15" s="4">
        <f>IF('[1]368 Community Cash Income'!$C15=0,"",'[1]368 Community Cash Income'!D15)</f>
        <v>0</v>
      </c>
      <c r="E15" s="4">
        <f>IF('[1]368 Community Cash Income'!$C15=0,"",'[1]368 Community Cash Income'!E15)</f>
        <v>0</v>
      </c>
      <c r="F15" s="4">
        <f>IF('[1]368 Community Cash Income'!$C15=0,"",'[1]368 Community Cash Income'!F15)</f>
        <v>8690000</v>
      </c>
      <c r="G15" s="4">
        <f>IF('[1]368 Community Cash Income'!$C15=0,"",'[1]368 Community Cash Income'!G15)</f>
        <v>0</v>
      </c>
      <c r="H15" s="4">
        <f>IF('[1]368 Community Cash Income'!$C15=0,"",'[1]368 Community Cash Income'!H15)</f>
        <v>0</v>
      </c>
      <c r="I15" s="4"/>
    </row>
    <row r="16" spans="1:11">
      <c r="B16" s="4" t="str">
        <f>IF('[1]368 Community Cash Income'!B16=0,"",'[1]368 Community Cash Income'!B16)</f>
        <v>Mukono Ntenjeru</v>
      </c>
      <c r="C16" s="4" t="str">
        <f>IF('[1]368 Community Cash Income'!C16=0,"",'[1]368 Community Cash Income'!C16)</f>
        <v>Poor</v>
      </c>
      <c r="D16" s="4">
        <f>IF('[1]368 Community Cash Income'!$C16=0,"",'[1]368 Community Cash Income'!D16)</f>
        <v>0</v>
      </c>
      <c r="E16" s="4">
        <f>IF('[1]368 Community Cash Income'!$C16=0,"",'[1]368 Community Cash Income'!E16)</f>
        <v>433000</v>
      </c>
      <c r="F16" s="4">
        <f>IF('[1]368 Community Cash Income'!$C16=0,"",'[1]368 Community Cash Income'!F16)</f>
        <v>0</v>
      </c>
      <c r="G16" s="4">
        <f>IF('[1]368 Community Cash Income'!$C16=0,"",'[1]368 Community Cash Income'!G16)</f>
        <v>0</v>
      </c>
      <c r="H16" s="4">
        <f>IF('[1]368 Community Cash Income'!$C16=0,"",'[1]368 Community Cash Income'!H16)</f>
        <v>32000</v>
      </c>
      <c r="I16" s="4"/>
    </row>
    <row r="17" spans="2:9">
      <c r="B17" s="4" t="str">
        <f>IF('[1]368 Community Cash Income'!B17=0,"",'[1]368 Community Cash Income'!B17)</f>
        <v/>
      </c>
      <c r="C17" s="4" t="str">
        <f>IF('[1]368 Community Cash Income'!C17=0,"",'[1]368 Community Cash Income'!C17)</f>
        <v>Middle</v>
      </c>
      <c r="D17" s="4">
        <f>IF('[1]368 Community Cash Income'!$C17=0,"",'[1]368 Community Cash Income'!D17)</f>
        <v>0</v>
      </c>
      <c r="E17" s="4">
        <f>IF('[1]368 Community Cash Income'!$C17=0,"",'[1]368 Community Cash Income'!E17)</f>
        <v>19468800</v>
      </c>
      <c r="F17" s="4">
        <f>IF('[1]368 Community Cash Income'!$C17=0,"",'[1]368 Community Cash Income'!F17)</f>
        <v>1490000</v>
      </c>
      <c r="G17" s="4">
        <f>IF('[1]368 Community Cash Income'!$C17=0,"",'[1]368 Community Cash Income'!G17)</f>
        <v>0</v>
      </c>
      <c r="H17" s="4">
        <f>IF('[1]368 Community Cash Income'!$C17=0,"",'[1]368 Community Cash Income'!H17)</f>
        <v>7125000</v>
      </c>
      <c r="I17" s="4"/>
    </row>
    <row r="18" spans="2:9">
      <c r="B18" s="4" t="str">
        <f>IF('[1]368 Community Cash Income'!B18=0,"",'[1]368 Community Cash Income'!B18)</f>
        <v/>
      </c>
      <c r="C18" s="4" t="str">
        <f>IF('[1]368 Community Cash Income'!C18=0,"",'[1]368 Community Cash Income'!C18)</f>
        <v>Better Off</v>
      </c>
      <c r="D18" s="4">
        <f>IF('[1]368 Community Cash Income'!$C18=0,"",'[1]368 Community Cash Income'!D18)</f>
        <v>10926008</v>
      </c>
      <c r="E18" s="4">
        <f>IF('[1]368 Community Cash Income'!$C18=0,"",'[1]368 Community Cash Income'!E18)</f>
        <v>4231650</v>
      </c>
      <c r="F18" s="4">
        <f>IF('[1]368 Community Cash Income'!$C18=0,"",'[1]368 Community Cash Income'!F18)</f>
        <v>1484000</v>
      </c>
      <c r="G18" s="4">
        <f>IF('[1]368 Community Cash Income'!$C18=0,"",'[1]368 Community Cash Income'!G18)</f>
        <v>0</v>
      </c>
      <c r="H18" s="4">
        <f>IF('[1]368 Community Cash Income'!$C18=0,"",'[1]368 Community Cash Income'!H18)</f>
        <v>0</v>
      </c>
      <c r="I18" s="4"/>
    </row>
    <row r="19" spans="2:9">
      <c r="B19" s="4" t="str">
        <f>IF('[1]368 Community Cash Income'!B19=0,"",'[1]368 Community Cash Income'!B19)</f>
        <v/>
      </c>
      <c r="C19" s="4" t="str">
        <f>IF('[1]368 Community Cash Income'!C19=0,"",'[1]368 Community Cash Income'!C19)</f>
        <v/>
      </c>
      <c r="D19" s="4" t="str">
        <f>IF('[1]368 Community Cash Income'!$C19=0,"",'[1]368 Community Cash Income'!D19)</f>
        <v/>
      </c>
      <c r="E19" s="4" t="str">
        <f>IF('[1]368 Community Cash Income'!$C19=0,"",'[1]368 Community Cash Income'!E19)</f>
        <v/>
      </c>
      <c r="F19" s="4" t="str">
        <f>IF('[1]368 Community Cash Income'!$C19=0,"",'[1]368 Community Cash Income'!F19)</f>
        <v/>
      </c>
      <c r="G19" s="4" t="str">
        <f>IF('[1]368 Community Cash Income'!$C19=0,"",'[1]368 Community Cash Income'!G19)</f>
        <v/>
      </c>
      <c r="H19" s="4" t="str">
        <f>IF('[1]368 Community Cash Income'!$C19=0,"",'[1]368 Community Cash Income'!H19)</f>
        <v/>
      </c>
      <c r="I19" s="4"/>
    </row>
    <row r="20" spans="2:9">
      <c r="B20" s="4" t="str">
        <f>IF('[1]368 Community Cash Income'!B20=0,"",'[1]368 Community Cash Income'!B20)</f>
        <v/>
      </c>
      <c r="C20" s="4" t="str">
        <f>IF('[1]368 Community Cash Income'!C20=0,"",'[1]368 Community Cash Income'!C20)</f>
        <v/>
      </c>
      <c r="D20" s="4" t="str">
        <f>IF('[1]368 Community Cash Income'!$C20=0,"",'[1]368 Community Cash Income'!D20)</f>
        <v/>
      </c>
      <c r="E20" s="4" t="str">
        <f>IF('[1]368 Community Cash Income'!$C20=0,"",'[1]368 Community Cash Income'!E20)</f>
        <v/>
      </c>
      <c r="F20" s="4" t="str">
        <f>IF('[1]368 Community Cash Income'!$C20=0,"",'[1]368 Community Cash Income'!F20)</f>
        <v/>
      </c>
      <c r="G20" s="4" t="str">
        <f>IF('[1]368 Community Cash Income'!$C20=0,"",'[1]368 Community Cash Income'!G20)</f>
        <v/>
      </c>
      <c r="H20" s="4" t="str">
        <f>IF('[1]368 Community Cash Income'!$C20=0,"",'[1]368 Community Cash Income'!H20)</f>
        <v/>
      </c>
      <c r="I20" s="4"/>
    </row>
    <row r="21" spans="2:9">
      <c r="B21" s="4" t="str">
        <f>IF('[1]368 Community Cash Income'!B21=0,"",'[1]368 Community Cash Income'!B21)</f>
        <v/>
      </c>
      <c r="C21" s="4" t="str">
        <f>IF('[1]368 Community Cash Income'!C21=0,"",'[1]368 Community Cash Income'!C21)</f>
        <v/>
      </c>
      <c r="D21" s="4" t="str">
        <f>IF('[1]368 Community Cash Income'!$C21=0,"",'[1]368 Community Cash Income'!D21)</f>
        <v/>
      </c>
      <c r="E21" s="4" t="str">
        <f>IF('[1]368 Community Cash Income'!$C21=0,"",'[1]368 Community Cash Income'!E21)</f>
        <v/>
      </c>
      <c r="F21" s="4" t="str">
        <f>IF('[1]368 Community Cash Income'!$C21=0,"",'[1]368 Community Cash Income'!F21)</f>
        <v/>
      </c>
      <c r="G21" s="4" t="str">
        <f>IF('[1]368 Community Cash Income'!$C21=0,"",'[1]368 Community Cash Income'!G21)</f>
        <v/>
      </c>
      <c r="H21" s="4" t="str">
        <f>IF('[1]368 Community Cash Income'!$C21=0,"",'[1]368 Community Cash Income'!H21)</f>
        <v/>
      </c>
      <c r="I21" s="4"/>
    </row>
    <row r="22" spans="2:9">
      <c r="B22" s="4" t="str">
        <f>IF('[1]368 Community Cash Income'!B22=0,"",'[1]368 Community Cash Income'!B22)</f>
        <v/>
      </c>
      <c r="C22" s="4" t="str">
        <f>IF('[1]368 Community Cash Income'!C22=0,"",'[1]368 Community Cash Income'!C22)</f>
        <v/>
      </c>
      <c r="D22" s="4" t="str">
        <f>IF('[1]368 Community Cash Income'!$C22=0,"",'[1]368 Community Cash Income'!D22)</f>
        <v/>
      </c>
      <c r="E22" s="4" t="str">
        <f>IF('[1]368 Community Cash Income'!$C22=0,"",'[1]368 Community Cash Income'!E22)</f>
        <v/>
      </c>
      <c r="F22" s="4" t="str">
        <f>IF('[1]368 Community Cash Income'!$C22=0,"",'[1]368 Community Cash Income'!F22)</f>
        <v/>
      </c>
      <c r="G22" s="4" t="str">
        <f>IF('[1]368 Community Cash Income'!$C22=0,"",'[1]368 Community Cash Income'!G22)</f>
        <v/>
      </c>
      <c r="H22" s="4" t="str">
        <f>IF('[1]368 Community Cash Income'!$C22=0,"",'[1]368 Community Cash Income'!H22)</f>
        <v/>
      </c>
      <c r="I22" s="4"/>
    </row>
    <row r="23" spans="2:9">
      <c r="B23" s="4" t="str">
        <f>IF('[1]368 Community Cash Income'!B23=0,"",'[1]368 Community Cash Income'!B23)</f>
        <v/>
      </c>
      <c r="C23" s="4" t="str">
        <f>IF('[1]368 Community Cash Income'!C23=0,"",'[1]368 Community Cash Income'!C23)</f>
        <v/>
      </c>
      <c r="D23" s="4" t="str">
        <f>IF('[1]368 Community Cash Income'!$C23=0,"",'[1]368 Community Cash Income'!D23)</f>
        <v/>
      </c>
      <c r="E23" s="4" t="str">
        <f>IF('[1]368 Community Cash Income'!$C23=0,"",'[1]368 Community Cash Income'!E23)</f>
        <v/>
      </c>
      <c r="F23" s="4" t="str">
        <f>IF('[1]368 Community Cash Income'!$C23=0,"",'[1]368 Community Cash Income'!F23)</f>
        <v/>
      </c>
      <c r="G23" s="4" t="str">
        <f>IF('[1]368 Community Cash Income'!$C23=0,"",'[1]368 Community Cash Income'!G23)</f>
        <v/>
      </c>
      <c r="H23" s="4" t="str">
        <f>IF('[1]368 Community Cash Income'!$C23=0,"",'[1]368 Community Cash Income'!H23)</f>
        <v/>
      </c>
      <c r="I23" s="4"/>
    </row>
    <row r="24" spans="2:9">
      <c r="B24" s="4" t="str">
        <f>IF('[1]368 Community Cash Income'!B24=0,"",'[1]368 Community Cash Income'!B24)</f>
        <v/>
      </c>
      <c r="C24" s="4" t="str">
        <f>IF('[1]368 Community Cash Income'!C24=0,"",'[1]368 Community Cash Income'!C24)</f>
        <v/>
      </c>
      <c r="D24" s="4" t="str">
        <f>IF('[1]368 Community Cash Income'!$C24=0,"",'[1]368 Community Cash Income'!D24)</f>
        <v/>
      </c>
      <c r="E24" s="4" t="str">
        <f>IF('[1]368 Community Cash Income'!$C24=0,"",'[1]368 Community Cash Income'!E24)</f>
        <v/>
      </c>
      <c r="F24" s="4" t="str">
        <f>IF('[1]368 Community Cash Income'!$C24=0,"",'[1]368 Community Cash Income'!F24)</f>
        <v/>
      </c>
      <c r="G24" s="4" t="str">
        <f>IF('[1]368 Community Cash Income'!$C24=0,"",'[1]368 Community Cash Income'!G24)</f>
        <v/>
      </c>
      <c r="H24" s="4" t="str">
        <f>IF('[1]368 Community Cash Income'!$C24=0,"",'[1]368 Community Cash Income'!H24)</f>
        <v/>
      </c>
      <c r="I24" s="4"/>
    </row>
    <row r="25" spans="2:9">
      <c r="B25" s="4" t="str">
        <f>IF('[1]368 Community Cash Income'!B25=0,"",'[1]368 Community Cash Income'!B25)</f>
        <v/>
      </c>
      <c r="C25" s="4" t="str">
        <f>IF('[1]368 Community Cash Income'!C25=0,"",'[1]368 Community Cash Income'!C25)</f>
        <v/>
      </c>
      <c r="D25" s="4" t="str">
        <f>IF('[1]368 Community Cash Income'!$C25=0,"",'[1]368 Community Cash Income'!D25)</f>
        <v/>
      </c>
      <c r="E25" s="4" t="str">
        <f>IF('[1]368 Community Cash Income'!$C25=0,"",'[1]368 Community Cash Income'!E25)</f>
        <v/>
      </c>
      <c r="F25" s="4" t="str">
        <f>IF('[1]368 Community Cash Income'!$C25=0,"",'[1]368 Community Cash Income'!F25)</f>
        <v/>
      </c>
      <c r="G25" s="4" t="str">
        <f>IF('[1]368 Community Cash Income'!$C25=0,"",'[1]368 Community Cash Income'!G25)</f>
        <v/>
      </c>
      <c r="H25" s="4" t="str">
        <f>IF('[1]368 Community Cash Income'!$C25=0,"",'[1]368 Community Cash Income'!H25)</f>
        <v/>
      </c>
      <c r="I25" s="4"/>
    </row>
    <row r="26" spans="2:9">
      <c r="B26" s="4" t="str">
        <f>IF('[1]368 Community Cash Income'!B26=0,"",'[1]368 Community Cash Income'!B26)</f>
        <v/>
      </c>
      <c r="C26" s="4" t="str">
        <f>IF('[1]368 Community Cash Income'!C26=0,"",'[1]368 Community Cash Income'!C26)</f>
        <v/>
      </c>
      <c r="D26" s="4" t="str">
        <f>IF('[1]368 Community Cash Income'!$C26=0,"",'[1]368 Community Cash Income'!D26)</f>
        <v/>
      </c>
      <c r="E26" s="4" t="str">
        <f>IF('[1]368 Community Cash Income'!$C26=0,"",'[1]368 Community Cash Income'!E26)</f>
        <v/>
      </c>
      <c r="F26" s="4" t="str">
        <f>IF('[1]368 Community Cash Income'!$C26=0,"",'[1]368 Community Cash Income'!F26)</f>
        <v/>
      </c>
      <c r="G26" s="4" t="str">
        <f>IF('[1]368 Community Cash Income'!$C26=0,"",'[1]368 Community Cash Income'!G26)</f>
        <v/>
      </c>
      <c r="H26" s="4" t="str">
        <f>IF('[1]368 Community Cash Income'!$C26=0,"",'[1]368 Community Cash Income'!H26)</f>
        <v/>
      </c>
      <c r="I26" s="4"/>
    </row>
    <row r="27" spans="2:9">
      <c r="B27" s="4" t="str">
        <f>IF('[1]368 Community Cash Income'!B27=0,"",'[1]368 Community Cash Income'!B27)</f>
        <v/>
      </c>
      <c r="C27" s="4" t="str">
        <f>IF('[1]368 Community Cash Income'!C27=0,"",'[1]368 Community Cash Income'!C27)</f>
        <v/>
      </c>
      <c r="D27" s="4" t="str">
        <f>IF('[1]368 Community Cash Income'!$C27=0,"",'[1]368 Community Cash Income'!D27)</f>
        <v/>
      </c>
      <c r="E27" s="4" t="str">
        <f>IF('[1]368 Community Cash Income'!$C27=0,"",'[1]368 Community Cash Income'!E27)</f>
        <v/>
      </c>
      <c r="F27" s="4" t="str">
        <f>IF('[1]368 Community Cash Income'!$C27=0,"",'[1]368 Community Cash Income'!F27)</f>
        <v/>
      </c>
      <c r="G27" s="4" t="str">
        <f>IF('[1]368 Community Cash Income'!$C27=0,"",'[1]368 Community Cash Income'!G27)</f>
        <v/>
      </c>
      <c r="H27" s="4" t="str">
        <f>IF('[1]368 Community Cash Income'!$C27=0,"",'[1]368 Community Cash Income'!H27)</f>
        <v/>
      </c>
      <c r="I27" s="4"/>
    </row>
    <row r="28" spans="2:9">
      <c r="B28" s="4" t="str">
        <f>IF('[1]368 Community Cash Income'!B28=0,"",'[1]368 Community Cash Income'!B28)</f>
        <v/>
      </c>
      <c r="C28" s="4" t="str">
        <f>IF('[1]368 Community Cash Income'!C28=0,"",'[1]368 Community Cash Income'!C28)</f>
        <v/>
      </c>
      <c r="D28" s="4" t="str">
        <f>IF('[1]368 Community Cash Income'!$C28=0,"",'[1]368 Community Cash Income'!D28)</f>
        <v/>
      </c>
      <c r="E28" s="4" t="str">
        <f>IF('[1]368 Community Cash Income'!$C28=0,"",'[1]368 Community Cash Income'!E28)</f>
        <v/>
      </c>
      <c r="F28" s="4" t="str">
        <f>IF('[1]368 Community Cash Income'!$C28=0,"",'[1]368 Community Cash Income'!F28)</f>
        <v/>
      </c>
      <c r="G28" s="4" t="str">
        <f>IF('[1]368 Community Cash Income'!$C28=0,"",'[1]368 Community Cash Income'!G28)</f>
        <v/>
      </c>
      <c r="H28" s="4" t="str">
        <f>IF('[1]368 Community Cash Income'!$C28=0,"",'[1]368 Community Cash Income'!H28)</f>
        <v/>
      </c>
      <c r="I28" s="4"/>
    </row>
    <row r="29" spans="2:9">
      <c r="B29" s="4" t="str">
        <f>IF('[1]368 Community Cash Income'!B29=0,"",'[1]368 Community Cash Income'!B29)</f>
        <v/>
      </c>
      <c r="C29" s="4" t="str">
        <f>IF('[1]368 Community Cash Income'!C29=0,"",'[1]368 Community Cash Income'!C29)</f>
        <v/>
      </c>
      <c r="D29" s="4" t="str">
        <f>IF('[1]368 Community Cash Income'!$C29=0,"",'[1]368 Community Cash Income'!D29)</f>
        <v/>
      </c>
      <c r="E29" s="4" t="str">
        <f>IF('[1]368 Community Cash Income'!$C29=0,"",'[1]368 Community Cash Income'!E29)</f>
        <v/>
      </c>
      <c r="F29" s="4" t="str">
        <f>IF('[1]368 Community Cash Income'!$C29=0,"",'[1]368 Community Cash Income'!F29)</f>
        <v/>
      </c>
      <c r="G29" s="4" t="str">
        <f>IF('[1]368 Community Cash Income'!$C29=0,"",'[1]368 Community Cash Income'!G29)</f>
        <v/>
      </c>
      <c r="H29" s="4" t="str">
        <f>IF('[1]368 Community Cash Income'!$C29=0,"",'[1]368 Community Cash Income'!H29)</f>
        <v/>
      </c>
      <c r="I29" s="4"/>
    </row>
    <row r="30" spans="2:9">
      <c r="B30" s="4" t="str">
        <f>IF('[1]368 Community Cash Income'!B30=0,"",'[1]368 Community Cash Income'!B30)</f>
        <v/>
      </c>
      <c r="C30" s="4" t="str">
        <f>IF('[1]368 Community Cash Income'!C30=0,"",'[1]368 Community Cash Income'!C30)</f>
        <v/>
      </c>
      <c r="D30" s="4" t="str">
        <f>IF('[1]368 Community Cash Income'!$C30=0,"",'[1]368 Community Cash Income'!D30)</f>
        <v/>
      </c>
      <c r="E30" s="4" t="str">
        <f>IF('[1]368 Community Cash Income'!$C30=0,"",'[1]368 Community Cash Income'!E30)</f>
        <v/>
      </c>
      <c r="F30" s="4" t="str">
        <f>IF('[1]368 Community Cash Income'!$C30=0,"",'[1]368 Community Cash Income'!F30)</f>
        <v/>
      </c>
      <c r="G30" s="4" t="str">
        <f>IF('[1]368 Community Cash Income'!$C30=0,"",'[1]368 Community Cash Income'!G30)</f>
        <v/>
      </c>
      <c r="H30" s="4" t="str">
        <f>IF('[1]368 Community Cash Income'!$C30=0,"",'[1]368 Community Cash Income'!H30)</f>
        <v/>
      </c>
      <c r="I30" s="4"/>
    </row>
    <row r="31" spans="2:9">
      <c r="B31" s="4" t="str">
        <f>IF('[1]368 Community Cash Income'!B31=0,"",'[1]368 Community Cash Income'!B31)</f>
        <v/>
      </c>
      <c r="C31" s="4" t="str">
        <f>IF('[1]368 Community Cash Income'!C31=0,"",'[1]368 Community Cash Income'!C31)</f>
        <v/>
      </c>
      <c r="D31" s="4" t="str">
        <f>IF('[1]368 Community Cash Income'!$C31=0,"",'[1]368 Community Cash Income'!D31)</f>
        <v/>
      </c>
      <c r="E31" s="4" t="str">
        <f>IF('[1]368 Community Cash Income'!$C31=0,"",'[1]368 Community Cash Income'!E31)</f>
        <v/>
      </c>
      <c r="F31" s="4" t="str">
        <f>IF('[1]368 Community Cash Income'!$C31=0,"",'[1]368 Community Cash Income'!F31)</f>
        <v/>
      </c>
      <c r="G31" s="4" t="str">
        <f>IF('[1]368 Community Cash Income'!$C31=0,"",'[1]368 Community Cash Income'!G31)</f>
        <v/>
      </c>
      <c r="H31" s="4" t="str">
        <f>IF('[1]368 Community Cash Income'!$C31=0,"",'[1]368 Community Cash Income'!H31)</f>
        <v/>
      </c>
      <c r="I31" s="4"/>
    </row>
    <row r="32" spans="2:9">
      <c r="B32" s="4" t="str">
        <f>IF('[1]368 Community Cash Income'!B32=0,"",'[1]368 Community Cash Income'!B32)</f>
        <v/>
      </c>
      <c r="C32" s="4" t="str">
        <f>IF('[1]368 Community Cash Income'!C32=0,"",'[1]368 Community Cash Income'!C32)</f>
        <v/>
      </c>
      <c r="D32" s="4" t="str">
        <f>IF('[1]368 Community Cash Income'!$C32=0,"",'[1]368 Community Cash Income'!D32)</f>
        <v/>
      </c>
      <c r="E32" s="4" t="str">
        <f>IF('[1]368 Community Cash Income'!$C32=0,"",'[1]368 Community Cash Income'!E32)</f>
        <v/>
      </c>
      <c r="F32" s="4" t="str">
        <f>IF('[1]368 Community Cash Income'!$C32=0,"",'[1]368 Community Cash Income'!F32)</f>
        <v/>
      </c>
      <c r="G32" s="4" t="str">
        <f>IF('[1]368 Community Cash Income'!$C32=0,"",'[1]368 Community Cash Income'!G32)</f>
        <v/>
      </c>
      <c r="H32" s="4" t="str">
        <f>IF('[1]368 Community Cash Income'!$C32=0,"",'[1]368 Community Cash Income'!H32)</f>
        <v/>
      </c>
      <c r="I32" s="4"/>
    </row>
    <row r="33" spans="2:9">
      <c r="B33" s="4" t="str">
        <f>IF('[1]368 Community Cash Income'!B33=0,"",'[1]368 Community Cash Income'!B33)</f>
        <v/>
      </c>
      <c r="C33" s="4" t="str">
        <f>IF('[1]368 Community Cash Income'!C33=0,"",'[1]368 Community Cash Income'!C33)</f>
        <v/>
      </c>
      <c r="D33" s="4" t="str">
        <f>IF('[1]368 Community Cash Income'!$C33=0,"",'[1]368 Community Cash Income'!D33)</f>
        <v/>
      </c>
      <c r="E33" s="4" t="str">
        <f>IF('[1]368 Community Cash Income'!$C33=0,"",'[1]368 Community Cash Income'!E33)</f>
        <v/>
      </c>
      <c r="F33" s="4" t="str">
        <f>IF('[1]368 Community Cash Income'!$C33=0,"",'[1]368 Community Cash Income'!F33)</f>
        <v/>
      </c>
      <c r="G33" s="4" t="str">
        <f>IF('[1]368 Community Cash Income'!$C33=0,"",'[1]368 Community Cash Income'!G33)</f>
        <v/>
      </c>
      <c r="H33" s="4" t="str">
        <f>IF('[1]368 Community Cash Income'!$C33=0,"",'[1]368 Community Cash Income'!H33)</f>
        <v/>
      </c>
      <c r="I33" s="4"/>
    </row>
    <row r="34" spans="2:9">
      <c r="B34" s="4" t="str">
        <f>IF('[1]368 Community Cash Income'!B34=0,"",'[1]368 Community Cash Income'!B34)</f>
        <v/>
      </c>
      <c r="C34" s="4" t="str">
        <f>IF('[1]368 Community Cash Income'!C34=0,"",'[1]368 Community Cash Income'!C34)</f>
        <v/>
      </c>
      <c r="D34" s="4" t="str">
        <f>IF('[1]368 Community Cash Income'!$C34=0,"",'[1]368 Community Cash Income'!D34)</f>
        <v/>
      </c>
      <c r="E34" s="4" t="str">
        <f>IF('[1]368 Community Cash Income'!$C34=0,"",'[1]368 Community Cash Income'!E34)</f>
        <v/>
      </c>
      <c r="F34" s="4" t="str">
        <f>IF('[1]368 Community Cash Income'!$C34=0,"",'[1]368 Community Cash Income'!F34)</f>
        <v/>
      </c>
      <c r="G34" s="4" t="str">
        <f>IF('[1]368 Community Cash Income'!$C34=0,"",'[1]368 Community Cash Income'!G34)</f>
        <v/>
      </c>
      <c r="H34" s="4" t="str">
        <f>IF('[1]368 Community Cash Income'!$C34=0,"",'[1]368 Community Cash Income'!H34)</f>
        <v/>
      </c>
      <c r="I34" s="4"/>
    </row>
    <row r="35" spans="2:9">
      <c r="B35" s="4" t="str">
        <f>IF('[1]368 Community Cash Income'!B35=0,"",'[1]368 Community Cash Income'!B35)</f>
        <v/>
      </c>
      <c r="C35" s="4" t="str">
        <f>IF('[1]368 Community Cash Income'!C35=0,"",'[1]368 Community Cash Income'!C35)</f>
        <v/>
      </c>
      <c r="D35" s="4" t="str">
        <f>IF('[1]368 Community Cash Income'!$C35=0,"",'[1]368 Community Cash Income'!D35)</f>
        <v/>
      </c>
      <c r="E35" s="4" t="str">
        <f>IF('[1]368 Community Cash Income'!$C35=0,"",'[1]368 Community Cash Income'!E35)</f>
        <v/>
      </c>
      <c r="F35" s="4" t="str">
        <f>IF('[1]368 Community Cash Income'!$C35=0,"",'[1]368 Community Cash Income'!F35)</f>
        <v/>
      </c>
      <c r="G35" s="4" t="str">
        <f>IF('[1]368 Community Cash Income'!$C35=0,"",'[1]368 Community Cash Income'!G35)</f>
        <v/>
      </c>
      <c r="H35" s="4" t="str">
        <f>IF('[1]368 Community Cash Income'!$C35=0,"",'[1]368 Community Cash Income'!H35)</f>
        <v/>
      </c>
      <c r="I35" s="4"/>
    </row>
    <row r="36" spans="2:9">
      <c r="B36" s="4" t="str">
        <f>IF('[1]368 Community Cash Income'!B36=0,"",'[1]368 Community Cash Income'!B36)</f>
        <v/>
      </c>
      <c r="C36" s="4" t="str">
        <f>IF('[1]368 Community Cash Income'!C36=0,"",'[1]368 Community Cash Income'!C36)</f>
        <v/>
      </c>
      <c r="D36" s="4" t="str">
        <f>IF('[1]368 Community Cash Income'!$C36=0,"",'[1]368 Community Cash Income'!D36)</f>
        <v/>
      </c>
      <c r="E36" s="4" t="str">
        <f>IF('[1]368 Community Cash Income'!$C36=0,"",'[1]368 Community Cash Income'!E36)</f>
        <v/>
      </c>
      <c r="F36" s="4" t="str">
        <f>IF('[1]368 Community Cash Income'!$C36=0,"",'[1]368 Community Cash Income'!F36)</f>
        <v/>
      </c>
      <c r="G36" s="4" t="str">
        <f>IF('[1]368 Community Cash Income'!$C36=0,"",'[1]368 Community Cash Income'!G36)</f>
        <v/>
      </c>
      <c r="H36" s="4" t="str">
        <f>IF('[1]368 Community Cash Income'!$C36=0,"",'[1]368 Community Cash Income'!H36)</f>
        <v/>
      </c>
      <c r="I36" s="4"/>
    </row>
    <row r="37" spans="2:9">
      <c r="B37" s="4" t="str">
        <f>IF('[1]368 Community Cash Income'!B37=0,"",'[1]368 Community Cash Income'!B37)</f>
        <v/>
      </c>
      <c r="C37" s="4" t="str">
        <f>IF('[1]368 Community Cash Income'!C37=0,"",'[1]368 Community Cash Income'!C37)</f>
        <v/>
      </c>
      <c r="D37" s="4" t="str">
        <f>IF('[1]368 Community Cash Income'!$C37=0,"",'[1]368 Community Cash Income'!D37)</f>
        <v/>
      </c>
      <c r="E37" s="4" t="str">
        <f>IF('[1]368 Community Cash Income'!$C37=0,"",'[1]368 Community Cash Income'!E37)</f>
        <v/>
      </c>
      <c r="F37" s="4" t="str">
        <f>IF('[1]368 Community Cash Income'!$C37=0,"",'[1]368 Community Cash Income'!F37)</f>
        <v/>
      </c>
      <c r="G37" s="4" t="str">
        <f>IF('[1]368 Community Cash Income'!$C37=0,"",'[1]368 Community Cash Income'!G37)</f>
        <v/>
      </c>
      <c r="H37" s="4" t="str">
        <f>IF('[1]368 Community Cash Income'!$C37=0,"",'[1]368 Community Cash Income'!H37)</f>
        <v/>
      </c>
      <c r="I37" s="4"/>
    </row>
    <row r="38" spans="2:9">
      <c r="B38" s="4" t="str">
        <f>IF('[1]368 Community Cash Income'!B38=0,"",'[1]368 Community Cash Income'!B38)</f>
        <v/>
      </c>
      <c r="C38" s="4" t="str">
        <f>IF('[1]368 Community Cash Income'!C38=0,"",'[1]368 Community Cash Income'!C38)</f>
        <v/>
      </c>
      <c r="D38" s="4" t="str">
        <f>IF('[1]368 Community Cash Income'!$C38=0,"",'[1]368 Community Cash Income'!D38)</f>
        <v/>
      </c>
      <c r="E38" s="4" t="str">
        <f>IF('[1]368 Community Cash Income'!$C38=0,"",'[1]368 Community Cash Income'!E38)</f>
        <v/>
      </c>
      <c r="F38" s="4" t="str">
        <f>IF('[1]368 Community Cash Income'!$C38=0,"",'[1]368 Community Cash Income'!F38)</f>
        <v/>
      </c>
      <c r="G38" s="4" t="str">
        <f>IF('[1]368 Community Cash Income'!$C38=0,"",'[1]368 Community Cash Income'!G38)</f>
        <v/>
      </c>
      <c r="H38" s="4" t="str">
        <f>IF('[1]368 Community Cash Income'!$C38=0,"",'[1]368 Community Cash Income'!H38)</f>
        <v/>
      </c>
      <c r="I38" s="4"/>
    </row>
    <row r="39" spans="2:9">
      <c r="B39" s="4" t="str">
        <f>IF('[1]368 Community Cash Income'!B39=0,"",'[1]368 Community Cash Income'!B39)</f>
        <v/>
      </c>
      <c r="C39" s="4" t="str">
        <f>IF('[1]368 Community Cash Income'!C39=0,"",'[1]368 Community Cash Income'!C39)</f>
        <v/>
      </c>
      <c r="D39" s="4" t="str">
        <f>IF('[1]368 Community Cash Income'!$C39=0,"",'[1]368 Community Cash Income'!D39)</f>
        <v/>
      </c>
      <c r="E39" s="4" t="str">
        <f>IF('[1]368 Community Cash Income'!$C39=0,"",'[1]368 Community Cash Income'!E39)</f>
        <v/>
      </c>
      <c r="F39" s="4" t="str">
        <f>IF('[1]368 Community Cash Income'!$C39=0,"",'[1]368 Community Cash Income'!F39)</f>
        <v/>
      </c>
      <c r="G39" s="4" t="str">
        <f>IF('[1]368 Community Cash Income'!$C39=0,"",'[1]368 Community Cash Income'!G39)</f>
        <v/>
      </c>
      <c r="H39" s="4" t="str">
        <f>IF('[1]368 Community Cash Income'!$C39=0,"",'[1]368 Community Cash Income'!H39)</f>
        <v/>
      </c>
      <c r="I39" s="4"/>
    </row>
    <row r="40" spans="2:9">
      <c r="B40" s="4" t="str">
        <f>IF('[1]368 Community Cash Income'!B40=0,"",'[1]368 Community Cash Income'!B40)</f>
        <v/>
      </c>
      <c r="C40" s="4" t="str">
        <f>IF('[1]368 Community Cash Income'!C40=0,"",'[1]368 Community Cash Income'!C40)</f>
        <v/>
      </c>
      <c r="D40" s="4" t="str">
        <f>IF('[1]368 Community Cash Income'!$C40=0,"",'[1]368 Community Cash Income'!D40)</f>
        <v/>
      </c>
      <c r="E40" s="4" t="str">
        <f>IF('[1]368 Community Cash Income'!$C40=0,"",'[1]368 Community Cash Income'!E40)</f>
        <v/>
      </c>
      <c r="F40" s="4" t="str">
        <f>IF('[1]368 Community Cash Income'!$C40=0,"",'[1]368 Community Cash Income'!F40)</f>
        <v/>
      </c>
      <c r="G40" s="4" t="str">
        <f>IF('[1]368 Community Cash Income'!$C40=0,"",'[1]368 Community Cash Income'!G40)</f>
        <v/>
      </c>
      <c r="H40" s="4" t="str">
        <f>IF('[1]368 Community Cash Income'!$C40=0,"",'[1]368 Community Cash Income'!H40)</f>
        <v/>
      </c>
      <c r="I40" s="4"/>
    </row>
    <row r="41" spans="2:9">
      <c r="B41" s="4" t="str">
        <f>IF('[1]368 Community Cash Income'!B41=0,"",'[1]368 Community Cash Income'!B41)</f>
        <v/>
      </c>
      <c r="C41" s="4" t="str">
        <f>IF('[1]368 Community Cash Income'!C41=0,"",'[1]368 Community Cash Income'!C41)</f>
        <v/>
      </c>
      <c r="D41" s="4" t="str">
        <f>IF('[1]368 Community Cash Income'!$C41=0,"",'[1]368 Community Cash Income'!D41)</f>
        <v/>
      </c>
      <c r="E41" s="4" t="str">
        <f>IF('[1]368 Community Cash Income'!$C41=0,"",'[1]368 Community Cash Income'!E41)</f>
        <v/>
      </c>
      <c r="F41" s="4" t="str">
        <f>IF('[1]368 Community Cash Income'!$C41=0,"",'[1]368 Community Cash Income'!F41)</f>
        <v/>
      </c>
      <c r="G41" s="4" t="str">
        <f>IF('[1]368 Community Cash Income'!$C41=0,"",'[1]368 Community Cash Income'!G41)</f>
        <v/>
      </c>
      <c r="H41" s="4" t="str">
        <f>IF('[1]368 Community Cash Income'!$C41=0,"",'[1]368 Community Cash Income'!H41)</f>
        <v/>
      </c>
      <c r="I41" s="4"/>
    </row>
    <row r="42" spans="2:9">
      <c r="B42" s="4" t="str">
        <f>IF('[1]368 Community Cash Income'!B42=0,"",'[1]368 Community Cash Income'!B42)</f>
        <v/>
      </c>
      <c r="C42" s="4" t="str">
        <f>IF('[1]368 Community Cash Income'!C42=0,"",'[1]368 Community Cash Income'!C42)</f>
        <v/>
      </c>
      <c r="D42" s="4" t="str">
        <f>IF('[1]368 Community Cash Income'!$C42=0,"",'[1]368 Community Cash Income'!D42)</f>
        <v/>
      </c>
      <c r="E42" s="4" t="str">
        <f>IF('[1]368 Community Cash Income'!$C42=0,"",'[1]368 Community Cash Income'!E42)</f>
        <v/>
      </c>
      <c r="F42" s="4" t="str">
        <f>IF('[1]368 Community Cash Income'!$C42=0,"",'[1]368 Community Cash Income'!F42)</f>
        <v/>
      </c>
      <c r="G42" s="4" t="str">
        <f>IF('[1]368 Community Cash Income'!$C42=0,"",'[1]368 Community Cash Income'!G42)</f>
        <v/>
      </c>
      <c r="H42" s="4" t="str">
        <f>IF('[1]368 Community Cash Income'!$C42=0,"",'[1]368 Community Cash Income'!H42)</f>
        <v/>
      </c>
      <c r="I42" s="4"/>
    </row>
    <row r="43" spans="2:9">
      <c r="B43" s="4" t="str">
        <f>IF('[1]368 Community Cash Income'!B43=0,"",'[1]368 Community Cash Income'!B43)</f>
        <v/>
      </c>
      <c r="C43" s="4" t="str">
        <f>IF('[1]368 Community Cash Income'!C43=0,"",'[1]368 Community Cash Income'!C43)</f>
        <v/>
      </c>
      <c r="D43" s="4" t="str">
        <f>IF('[1]368 Community Cash Income'!$C43=0,"",'[1]368 Community Cash Income'!D43)</f>
        <v/>
      </c>
      <c r="E43" s="4" t="str">
        <f>IF('[1]368 Community Cash Income'!$C43=0,"",'[1]368 Community Cash Income'!E43)</f>
        <v/>
      </c>
      <c r="F43" s="4" t="str">
        <f>IF('[1]368 Community Cash Income'!$C43=0,"",'[1]368 Community Cash Income'!F43)</f>
        <v/>
      </c>
      <c r="G43" s="4" t="str">
        <f>IF('[1]368 Community Cash Income'!$C43=0,"",'[1]368 Community Cash Income'!G43)</f>
        <v/>
      </c>
      <c r="H43" s="4" t="str">
        <f>IF('[1]368 Community Cash Income'!$C43=0,"",'[1]368 Community Cash Income'!H43)</f>
        <v/>
      </c>
      <c r="I43" s="4"/>
    </row>
    <row r="44" spans="2:9">
      <c r="B44" s="4" t="str">
        <f>IF('[1]368 Community Cash Income'!B44=0,"",'[1]368 Community Cash Income'!B44)</f>
        <v/>
      </c>
      <c r="C44" s="4" t="str">
        <f>IF('[1]368 Community Cash Income'!C44=0,"",'[1]368 Community Cash Income'!C44)</f>
        <v/>
      </c>
      <c r="D44" s="4" t="str">
        <f>IF('[1]368 Community Cash Income'!$C44=0,"",'[1]368 Community Cash Income'!D44)</f>
        <v/>
      </c>
      <c r="E44" s="4" t="str">
        <f>IF('[1]368 Community Cash Income'!$C44=0,"",'[1]368 Community Cash Income'!E44)</f>
        <v/>
      </c>
      <c r="F44" s="4" t="str">
        <f>IF('[1]368 Community Cash Income'!$C44=0,"",'[1]368 Community Cash Income'!F44)</f>
        <v/>
      </c>
      <c r="G44" s="4" t="str">
        <f>IF('[1]368 Community Cash Income'!$C44=0,"",'[1]368 Community Cash Income'!G44)</f>
        <v/>
      </c>
      <c r="H44" s="4" t="str">
        <f>IF('[1]368 Community Cash Income'!$C44=0,"",'[1]368 Community Cash Income'!H44)</f>
        <v/>
      </c>
      <c r="I44" s="4"/>
    </row>
    <row r="45" spans="2:9">
      <c r="B45" s="4" t="str">
        <f>IF('[1]368 Community Cash Income'!B45=0,"",'[1]368 Community Cash Income'!B45)</f>
        <v/>
      </c>
      <c r="C45" s="4" t="str">
        <f>IF('[1]368 Community Cash Income'!C45=0,"",'[1]368 Community Cash Income'!C45)</f>
        <v/>
      </c>
      <c r="D45" s="4" t="str">
        <f>IF('[1]368 Community Cash Income'!$C45=0,"",'[1]368 Community Cash Income'!D45)</f>
        <v/>
      </c>
      <c r="E45" s="4" t="str">
        <f>IF('[1]368 Community Cash Income'!$C45=0,"",'[1]368 Community Cash Income'!E45)</f>
        <v/>
      </c>
      <c r="F45" s="4" t="str">
        <f>IF('[1]368 Community Cash Income'!$C45=0,"",'[1]368 Community Cash Income'!F45)</f>
        <v/>
      </c>
      <c r="G45" s="4" t="str">
        <f>IF('[1]368 Community Cash Income'!$C45=0,"",'[1]368 Community Cash Income'!G45)</f>
        <v/>
      </c>
      <c r="H45" s="4" t="str">
        <f>IF('[1]368 Community Cash Income'!$C45=0,"",'[1]368 Community Cash Income'!H45)</f>
        <v/>
      </c>
      <c r="I45" s="4"/>
    </row>
    <row r="46" spans="2:9">
      <c r="B46" s="4" t="str">
        <f>IF('[1]368 Community Cash Income'!B46=0,"",'[1]368 Community Cash Income'!B46)</f>
        <v/>
      </c>
      <c r="C46" s="4" t="str">
        <f>IF('[1]368 Community Cash Income'!C46=0,"",'[1]368 Community Cash Income'!C46)</f>
        <v/>
      </c>
      <c r="D46" s="4" t="str">
        <f>IF('[1]368 Community Cash Income'!$C46=0,"",'[1]368 Community Cash Income'!D46)</f>
        <v/>
      </c>
      <c r="E46" s="4" t="str">
        <f>IF('[1]368 Community Cash Income'!$C46=0,"",'[1]368 Community Cash Income'!E46)</f>
        <v/>
      </c>
      <c r="F46" s="4" t="str">
        <f>IF('[1]368 Community Cash Income'!$C46=0,"",'[1]368 Community Cash Income'!F46)</f>
        <v/>
      </c>
      <c r="G46" s="4" t="str">
        <f>IF('[1]368 Community Cash Income'!$C46=0,"",'[1]368 Community Cash Income'!G46)</f>
        <v/>
      </c>
      <c r="H46" s="4" t="str">
        <f>IF('[1]368 Community Cash Income'!$C46=0,"",'[1]368 Community Cash Income'!H46)</f>
        <v/>
      </c>
      <c r="I46" s="4"/>
    </row>
    <row r="47" spans="2:9">
      <c r="B47" s="4" t="str">
        <f>IF('[1]368 Community Cash Income'!B47=0,"",'[1]368 Community Cash Income'!B47)</f>
        <v/>
      </c>
      <c r="C47" s="4" t="str">
        <f>IF('[1]368 Community Cash Income'!C47=0,"",'[1]368 Community Cash Income'!C47)</f>
        <v/>
      </c>
      <c r="D47" s="4" t="str">
        <f>IF('[1]368 Community Cash Income'!$C47=0,"",'[1]368 Community Cash Income'!D47)</f>
        <v/>
      </c>
      <c r="E47" s="4" t="str">
        <f>IF('[1]368 Community Cash Income'!$C47=0,"",'[1]368 Community Cash Income'!E47)</f>
        <v/>
      </c>
      <c r="F47" s="4" t="str">
        <f>IF('[1]368 Community Cash Income'!$C47=0,"",'[1]368 Community Cash Income'!F47)</f>
        <v/>
      </c>
      <c r="G47" s="4" t="str">
        <f>IF('[1]368 Community Cash Income'!$C47=0,"",'[1]368 Community Cash Income'!G47)</f>
        <v/>
      </c>
      <c r="H47" s="4" t="str">
        <f>IF('[1]368 Community Cash Income'!$C47=0,"",'[1]368 Community Cash Income'!H47)</f>
        <v/>
      </c>
      <c r="I47" s="4"/>
    </row>
    <row r="48" spans="2:9">
      <c r="B48" s="4" t="str">
        <f>IF('[1]368 Community Cash Income'!B48=0,"",'[1]368 Community Cash Income'!B48)</f>
        <v/>
      </c>
      <c r="C48" s="4" t="str">
        <f>IF('[1]368 Community Cash Income'!C48=0,"",'[1]368 Community Cash Income'!C48)</f>
        <v/>
      </c>
      <c r="D48" s="4" t="str">
        <f>IF('[1]368 Community Cash Income'!$C48=0,"",'[1]368 Community Cash Income'!D48)</f>
        <v/>
      </c>
      <c r="E48" s="4" t="str">
        <f>IF('[1]368 Community Cash Income'!$C48=0,"",'[1]368 Community Cash Income'!E48)</f>
        <v/>
      </c>
      <c r="F48" s="4" t="str">
        <f>IF('[1]368 Community Cash Income'!$C48=0,"",'[1]368 Community Cash Income'!F48)</f>
        <v/>
      </c>
      <c r="G48" s="4" t="str">
        <f>IF('[1]368 Community Cash Income'!$C48=0,"",'[1]368 Community Cash Income'!G48)</f>
        <v/>
      </c>
      <c r="H48" s="4" t="str">
        <f>IF('[1]368 Community Cash Income'!$C48=0,"",'[1]368 Community Cash Income'!H48)</f>
        <v/>
      </c>
      <c r="I48" s="4"/>
    </row>
    <row r="49" spans="2:9">
      <c r="B49" s="4" t="str">
        <f>IF('[1]368 Community Cash Income'!B49=0,"",'[1]368 Community Cash Income'!B49)</f>
        <v/>
      </c>
      <c r="C49" s="4" t="str">
        <f>IF('[1]368 Community Cash Income'!C49=0,"",'[1]368 Community Cash Income'!C49)</f>
        <v/>
      </c>
      <c r="D49" s="4" t="str">
        <f>IF('[1]368 Community Cash Income'!$C49=0,"",'[1]368 Community Cash Income'!D49)</f>
        <v/>
      </c>
      <c r="E49" s="4" t="str">
        <f>IF('[1]368 Community Cash Income'!$C49=0,"",'[1]368 Community Cash Income'!E49)</f>
        <v/>
      </c>
      <c r="F49" s="4" t="str">
        <f>IF('[1]368 Community Cash Income'!$C49=0,"",'[1]368 Community Cash Income'!F49)</f>
        <v/>
      </c>
      <c r="G49" s="4" t="str">
        <f>IF('[1]368 Community Cash Income'!$C49=0,"",'[1]368 Community Cash Income'!G49)</f>
        <v/>
      </c>
      <c r="H49" s="4" t="str">
        <f>IF('[1]368 Community Cash Income'!$C49=0,"",'[1]368 Community Cash Income'!H49)</f>
        <v/>
      </c>
      <c r="I49" s="4"/>
    </row>
    <row r="50" spans="2:9">
      <c r="B50" s="4" t="str">
        <f>IF('[1]368 Community Cash Income'!B50=0,"",'[1]368 Community Cash Income'!B50)</f>
        <v/>
      </c>
      <c r="C50" s="4" t="str">
        <f>IF('[1]368 Community Cash Income'!C50=0,"",'[1]368 Community Cash Income'!C50)</f>
        <v/>
      </c>
      <c r="D50" s="4" t="str">
        <f>IF('[1]368 Community Cash Income'!$C50=0,"",'[1]368 Community Cash Income'!D50)</f>
        <v/>
      </c>
      <c r="E50" s="4" t="str">
        <f>IF('[1]368 Community Cash Income'!$C50=0,"",'[1]368 Community Cash Income'!E50)</f>
        <v/>
      </c>
      <c r="F50" s="4" t="str">
        <f>IF('[1]368 Community Cash Income'!$C50=0,"",'[1]368 Community Cash Income'!F50)</f>
        <v/>
      </c>
      <c r="G50" s="4" t="str">
        <f>IF('[1]368 Community Cash Income'!$C50=0,"",'[1]368 Community Cash Income'!G50)</f>
        <v/>
      </c>
      <c r="H50" s="4" t="str">
        <f>IF('[1]368 Community Cash Income'!$C50=0,"",'[1]368 Community Cash Income'!H50)</f>
        <v/>
      </c>
      <c r="I50" s="4"/>
    </row>
    <row r="51" spans="2:9">
      <c r="B51" s="4" t="str">
        <f>IF('[1]368 Community Cash Income'!B51=0,"",'[1]368 Community Cash Income'!B51)</f>
        <v/>
      </c>
      <c r="C51" s="4" t="str">
        <f>IF('[1]368 Community Cash Income'!C51=0,"",'[1]368 Community Cash Income'!C51)</f>
        <v/>
      </c>
      <c r="D51" s="4" t="str">
        <f>IF('[1]368 Community Cash Income'!$C51=0,"",'[1]368 Community Cash Income'!D51)</f>
        <v/>
      </c>
      <c r="E51" s="4" t="str">
        <f>IF('[1]368 Community Cash Income'!$C51=0,"",'[1]368 Community Cash Income'!E51)</f>
        <v/>
      </c>
      <c r="F51" s="4" t="str">
        <f>IF('[1]368 Community Cash Income'!$C51=0,"",'[1]368 Community Cash Income'!F51)</f>
        <v/>
      </c>
      <c r="G51" s="4" t="str">
        <f>IF('[1]368 Community Cash Income'!$C51=0,"",'[1]368 Community Cash Income'!G51)</f>
        <v/>
      </c>
      <c r="H51" s="4" t="str">
        <f>IF('[1]368 Community Cash Income'!$C51=0,"",'[1]368 Community Cash Income'!H51)</f>
        <v/>
      </c>
      <c r="I51" s="4"/>
    </row>
    <row r="52" spans="2:9">
      <c r="B52" s="4" t="str">
        <f>IF('[1]368 Community Cash Income'!B52=0,"",'[1]368 Community Cash Income'!B52)</f>
        <v/>
      </c>
      <c r="C52" s="4" t="str">
        <f>IF('[1]368 Community Cash Income'!C52=0,"",'[1]368 Community Cash Income'!C52)</f>
        <v/>
      </c>
      <c r="D52" s="4" t="str">
        <f>IF('[1]368 Community Cash Income'!$C52=0,"",'[1]368 Community Cash Income'!D52)</f>
        <v/>
      </c>
      <c r="E52" s="4" t="str">
        <f>IF('[1]368 Community Cash Income'!$C52=0,"",'[1]368 Community Cash Income'!E52)</f>
        <v/>
      </c>
      <c r="F52" s="4" t="str">
        <f>IF('[1]368 Community Cash Income'!$C52=0,"",'[1]368 Community Cash Income'!F52)</f>
        <v/>
      </c>
      <c r="G52" s="4" t="str">
        <f>IF('[1]368 Community Cash Income'!$C52=0,"",'[1]368 Community Cash Income'!G52)</f>
        <v/>
      </c>
      <c r="H52" s="4" t="str">
        <f>IF('[1]368 Community Cash Income'!$C52=0,"",'[1]368 Community Cash Income'!H52)</f>
        <v/>
      </c>
      <c r="I52" s="4"/>
    </row>
    <row r="53" spans="2:9">
      <c r="B53" s="4" t="str">
        <f>IF('[1]368 Community Cash Income'!B53=0,"",'[1]368 Community Cash Income'!B53)</f>
        <v/>
      </c>
      <c r="C53" s="4" t="str">
        <f>IF('[1]368 Community Cash Income'!C53=0,"",'[1]368 Community Cash Income'!C53)</f>
        <v/>
      </c>
      <c r="D53" s="4" t="str">
        <f>IF('[1]368 Community Cash Income'!$C53=0,"",'[1]368 Community Cash Income'!D53)</f>
        <v/>
      </c>
      <c r="E53" s="4" t="str">
        <f>IF('[1]368 Community Cash Income'!$C53=0,"",'[1]368 Community Cash Income'!E53)</f>
        <v/>
      </c>
      <c r="F53" s="4" t="str">
        <f>IF('[1]368 Community Cash Income'!$C53=0,"",'[1]368 Community Cash Income'!F53)</f>
        <v/>
      </c>
      <c r="G53" s="4" t="str">
        <f>IF('[1]368 Community Cash Income'!$C53=0,"",'[1]368 Community Cash Income'!G53)</f>
        <v/>
      </c>
      <c r="H53" s="4" t="str">
        <f>IF('[1]368 Community Cash Income'!$C53=0,"",'[1]368 Community Cash Income'!H53)</f>
        <v/>
      </c>
      <c r="I53" s="4"/>
    </row>
    <row r="54" spans="2:9">
      <c r="B54" s="4" t="str">
        <f>IF('[1]368 Community Cash Income'!B54=0,"",'[1]368 Community Cash Income'!B54)</f>
        <v/>
      </c>
      <c r="C54" s="4" t="str">
        <f>IF('[1]368 Community Cash Income'!C54=0,"",'[1]368 Community Cash Income'!C54)</f>
        <v/>
      </c>
      <c r="D54" s="4" t="str">
        <f>IF('[1]368 Community Cash Income'!$C54=0,"",'[1]368 Community Cash Income'!D54)</f>
        <v/>
      </c>
      <c r="E54" s="4" t="str">
        <f>IF('[1]368 Community Cash Income'!$C54=0,"",'[1]368 Community Cash Income'!E54)</f>
        <v/>
      </c>
      <c r="F54" s="4" t="str">
        <f>IF('[1]368 Community Cash Income'!$C54=0,"",'[1]368 Community Cash Income'!F54)</f>
        <v/>
      </c>
      <c r="G54" s="4" t="str">
        <f>IF('[1]368 Community Cash Income'!$C54=0,"",'[1]368 Community Cash Income'!G54)</f>
        <v/>
      </c>
      <c r="H54" s="4" t="str">
        <f>IF('[1]368 Community Cash Income'!$C54=0,"",'[1]368 Community Cash Income'!H54)</f>
        <v/>
      </c>
      <c r="I54" s="4"/>
    </row>
    <row r="55" spans="2:9">
      <c r="B55" s="4" t="str">
        <f>IF('[1]368 Community Cash Income'!B55=0,"",'[1]368 Community Cash Income'!B55)</f>
        <v/>
      </c>
      <c r="C55" s="4" t="str">
        <f>IF('[1]368 Community Cash Income'!C55=0,"",'[1]368 Community Cash Income'!C55)</f>
        <v/>
      </c>
      <c r="D55" s="4" t="str">
        <f>IF('[1]368 Community Cash Income'!$C55=0,"",'[1]368 Community Cash Income'!D55)</f>
        <v/>
      </c>
      <c r="E55" s="4" t="str">
        <f>IF('[1]368 Community Cash Income'!$C55=0,"",'[1]368 Community Cash Income'!E55)</f>
        <v/>
      </c>
      <c r="F55" s="4" t="str">
        <f>IF('[1]368 Community Cash Income'!$C55=0,"",'[1]368 Community Cash Income'!F55)</f>
        <v/>
      </c>
      <c r="G55" s="4" t="str">
        <f>IF('[1]368 Community Cash Income'!$C55=0,"",'[1]368 Community Cash Income'!G55)</f>
        <v/>
      </c>
      <c r="H55" s="4" t="str">
        <f>IF('[1]368 Community Cash Income'!$C55=0,"",'[1]368 Community Cash Income'!H55)</f>
        <v/>
      </c>
      <c r="I55" s="4"/>
    </row>
    <row r="56" spans="2:9">
      <c r="B56" s="4" t="str">
        <f>IF('[1]368 Community Cash Income'!B56=0,"",'[1]368 Community Cash Income'!B56)</f>
        <v/>
      </c>
      <c r="C56" s="4" t="str">
        <f>IF('[1]368 Community Cash Income'!C56=0,"",'[1]368 Community Cash Income'!C56)</f>
        <v/>
      </c>
      <c r="D56" s="4" t="str">
        <f>IF('[1]368 Community Cash Income'!$C56=0,"",'[1]368 Community Cash Income'!D56)</f>
        <v/>
      </c>
      <c r="E56" s="4" t="str">
        <f>IF('[1]368 Community Cash Income'!$C56=0,"",'[1]368 Community Cash Income'!E56)</f>
        <v/>
      </c>
      <c r="F56" s="4" t="str">
        <f>IF('[1]368 Community Cash Income'!$C56=0,"",'[1]368 Community Cash Income'!F56)</f>
        <v/>
      </c>
      <c r="G56" s="4" t="str">
        <f>IF('[1]368 Community Cash Income'!$C56=0,"",'[1]368 Community Cash Income'!G56)</f>
        <v/>
      </c>
      <c r="H56" s="4" t="str">
        <f>IF('[1]368 Community Cash Income'!$C56=0,"",'[1]368 Community Cash Income'!H56)</f>
        <v/>
      </c>
      <c r="I56" s="4"/>
    </row>
    <row r="57" spans="2:9">
      <c r="B57" s="4" t="str">
        <f>IF('[1]368 Community Cash Income'!B57=0,"",'[1]368 Community Cash Income'!B57)</f>
        <v/>
      </c>
      <c r="C57" s="4" t="str">
        <f>IF('[1]368 Community Cash Income'!C57=0,"",'[1]368 Community Cash Income'!C57)</f>
        <v/>
      </c>
      <c r="D57" s="4" t="str">
        <f>IF('[1]368 Community Cash Income'!$C57=0,"",'[1]368 Community Cash Income'!D57)</f>
        <v/>
      </c>
      <c r="E57" s="4" t="str">
        <f>IF('[1]368 Community Cash Income'!$C57=0,"",'[1]368 Community Cash Income'!E57)</f>
        <v/>
      </c>
      <c r="F57" s="4" t="str">
        <f>IF('[1]368 Community Cash Income'!$C57=0,"",'[1]368 Community Cash Income'!F57)</f>
        <v/>
      </c>
      <c r="G57" s="4" t="str">
        <f>IF('[1]368 Community Cash Income'!$C57=0,"",'[1]368 Community Cash Income'!G57)</f>
        <v/>
      </c>
      <c r="H57" s="4" t="str">
        <f>IF('[1]368 Community Cash Income'!$C57=0,"",'[1]368 Community Cash Income'!H57)</f>
        <v/>
      </c>
      <c r="I57" s="4"/>
    </row>
    <row r="58" spans="2:9">
      <c r="B58" s="4" t="str">
        <f>IF('[1]368 Community Cash Income'!B58=0,"",'[1]368 Community Cash Income'!B58)</f>
        <v/>
      </c>
      <c r="C58" s="4" t="str">
        <f>IF('[1]368 Community Cash Income'!C58=0,"",'[1]368 Community Cash Income'!C58)</f>
        <v/>
      </c>
      <c r="D58" s="4" t="str">
        <f>IF('[1]368 Community Cash Income'!$C58=0,"",'[1]368 Community Cash Income'!D58)</f>
        <v/>
      </c>
      <c r="E58" s="4" t="str">
        <f>IF('[1]368 Community Cash Income'!$C58=0,"",'[1]368 Community Cash Income'!E58)</f>
        <v/>
      </c>
      <c r="F58" s="4" t="str">
        <f>IF('[1]368 Community Cash Income'!$C58=0,"",'[1]368 Community Cash Income'!F58)</f>
        <v/>
      </c>
      <c r="G58" s="4" t="str">
        <f>IF('[1]368 Community Cash Income'!$C58=0,"",'[1]368 Community Cash Income'!G58)</f>
        <v/>
      </c>
      <c r="H58" s="4" t="str">
        <f>IF('[1]368 Community Cash Income'!$C58=0,"",'[1]368 Community Cash Income'!H58)</f>
        <v/>
      </c>
      <c r="I58" s="4"/>
    </row>
    <row r="59" spans="2:9">
      <c r="B59" s="4" t="str">
        <f>IF('[1]368 Community Cash Income'!B59=0,"",'[1]368 Community Cash Income'!B59)</f>
        <v/>
      </c>
      <c r="C59" s="4" t="str">
        <f>IF('[1]368 Community Cash Income'!C59=0,"",'[1]368 Community Cash Income'!C59)</f>
        <v/>
      </c>
      <c r="D59" s="4" t="str">
        <f>IF('[1]368 Community Cash Income'!$C59=0,"",'[1]368 Community Cash Income'!D59)</f>
        <v/>
      </c>
      <c r="E59" s="4" t="str">
        <f>IF('[1]368 Community Cash Income'!$C59=0,"",'[1]368 Community Cash Income'!E59)</f>
        <v/>
      </c>
      <c r="F59" s="4" t="str">
        <f>IF('[1]368 Community Cash Income'!$C59=0,"",'[1]368 Community Cash Income'!F59)</f>
        <v/>
      </c>
      <c r="G59" s="4" t="str">
        <f>IF('[1]368 Community Cash Income'!$C59=0,"",'[1]368 Community Cash Income'!G59)</f>
        <v/>
      </c>
      <c r="H59" s="4" t="str">
        <f>IF('[1]368 Community Cash Income'!$C59=0,"",'[1]368 Community Cash Income'!H59)</f>
        <v/>
      </c>
      <c r="I59" s="4"/>
    </row>
    <row r="60" spans="2:9">
      <c r="B60" s="4" t="str">
        <f>IF('[1]368 Community Cash Income'!B60=0,"",'[1]368 Community Cash Income'!B60)</f>
        <v/>
      </c>
      <c r="C60" s="4" t="str">
        <f>IF('[1]368 Community Cash Income'!C60=0,"",'[1]368 Community Cash Income'!C60)</f>
        <v/>
      </c>
      <c r="D60" s="4" t="str">
        <f>IF('[1]368 Community Cash Income'!$C60=0,"",'[1]368 Community Cash Income'!D60)</f>
        <v/>
      </c>
      <c r="E60" s="4" t="str">
        <f>IF('[1]368 Community Cash Income'!$C60=0,"",'[1]368 Community Cash Income'!E60)</f>
        <v/>
      </c>
      <c r="F60" s="4" t="str">
        <f>IF('[1]368 Community Cash Income'!$C60=0,"",'[1]368 Community Cash Income'!F60)</f>
        <v/>
      </c>
      <c r="G60" s="4" t="str">
        <f>IF('[1]368 Community Cash Income'!$C60=0,"",'[1]368 Community Cash Income'!G60)</f>
        <v/>
      </c>
      <c r="H60" s="4" t="str">
        <f>IF('[1]368 Community Cash Income'!$C60=0,"",'[1]368 Community Cash Income'!H60)</f>
        <v/>
      </c>
      <c r="I60" s="4"/>
    </row>
    <row r="61" spans="2:9">
      <c r="B61" s="4" t="str">
        <f>IF('[1]368 Community Cash Income'!B61=0,"",'[1]368 Community Cash Income'!B61)</f>
        <v/>
      </c>
      <c r="C61" s="4" t="str">
        <f>IF('[1]368 Community Cash Income'!C61=0,"",'[1]368 Community Cash Income'!C61)</f>
        <v/>
      </c>
      <c r="D61" s="4" t="str">
        <f>IF('[1]368 Community Cash Income'!$C61=0,"",'[1]368 Community Cash Income'!D61)</f>
        <v/>
      </c>
      <c r="E61" s="4" t="str">
        <f>IF('[1]368 Community Cash Income'!$C61=0,"",'[1]368 Community Cash Income'!E61)</f>
        <v/>
      </c>
      <c r="F61" s="4" t="str">
        <f>IF('[1]368 Community Cash Income'!$C61=0,"",'[1]368 Community Cash Income'!F61)</f>
        <v/>
      </c>
      <c r="G61" s="4" t="str">
        <f>IF('[1]368 Community Cash Income'!$C61=0,"",'[1]368 Community Cash Income'!G61)</f>
        <v/>
      </c>
      <c r="H61" s="4" t="str">
        <f>IF('[1]368 Community Cash Income'!$C61=0,"",'[1]368 Community Cash Income'!H61)</f>
        <v/>
      </c>
      <c r="I61" s="4"/>
    </row>
    <row r="62" spans="2:9">
      <c r="B62" s="4" t="str">
        <f>IF('[1]368 Community Cash Income'!B62=0,"",'[1]368 Community Cash Income'!B62)</f>
        <v/>
      </c>
      <c r="C62" s="4" t="str">
        <f>IF('[1]368 Community Cash Income'!C62=0,"",'[1]368 Community Cash Income'!C62)</f>
        <v/>
      </c>
      <c r="D62" s="4" t="str">
        <f>IF('[1]368 Community Cash Income'!$C62=0,"",'[1]368 Community Cash Income'!D62)</f>
        <v/>
      </c>
      <c r="E62" s="4" t="str">
        <f>IF('[1]368 Community Cash Income'!$C62=0,"",'[1]368 Community Cash Income'!E62)</f>
        <v/>
      </c>
      <c r="F62" s="4" t="str">
        <f>IF('[1]368 Community Cash Income'!$C62=0,"",'[1]368 Community Cash Income'!F62)</f>
        <v/>
      </c>
      <c r="G62" s="4" t="str">
        <f>IF('[1]368 Community Cash Income'!$C62=0,"",'[1]368 Community Cash Income'!G62)</f>
        <v/>
      </c>
      <c r="H62" s="4" t="str">
        <f>IF('[1]368 Community Cash Income'!$C62=0,"",'[1]368 Community Cash Income'!H62)</f>
        <v/>
      </c>
      <c r="I62" s="4"/>
    </row>
    <row r="63" spans="2:9">
      <c r="B63" s="4" t="str">
        <f>IF('[1]368 Community Cash Income'!B63=0,"",'[1]368 Community Cash Income'!B63)</f>
        <v/>
      </c>
      <c r="C63" s="4" t="str">
        <f>IF('[1]368 Community Cash Income'!C63=0,"",'[1]368 Community Cash Income'!C63)</f>
        <v/>
      </c>
      <c r="D63" s="4" t="str">
        <f>IF('[1]368 Community Cash Income'!$C63=0,"",'[1]368 Community Cash Income'!D63)</f>
        <v/>
      </c>
      <c r="E63" s="4" t="str">
        <f>IF('[1]368 Community Cash Income'!$C63=0,"",'[1]368 Community Cash Income'!E63)</f>
        <v/>
      </c>
      <c r="F63" s="4" t="str">
        <f>IF('[1]368 Community Cash Income'!$C63=0,"",'[1]368 Community Cash Income'!F63)</f>
        <v/>
      </c>
      <c r="G63" s="4" t="str">
        <f>IF('[1]368 Community Cash Income'!$C63=0,"",'[1]368 Community Cash Income'!G63)</f>
        <v/>
      </c>
      <c r="H63" s="4" t="str">
        <f>IF('[1]368 Community Cash Income'!$C63=0,"",'[1]368 Community Cash Income'!H63)</f>
        <v/>
      </c>
      <c r="I63" s="4"/>
    </row>
    <row r="64" spans="2:9">
      <c r="B64" s="4" t="str">
        <f>IF('[1]368 Community Cash Income'!B64=0,"",'[1]368 Community Cash Income'!B64)</f>
        <v/>
      </c>
      <c r="C64" s="4" t="str">
        <f>IF('[1]368 Community Cash Income'!C64=0,"",'[1]368 Community Cash Income'!C64)</f>
        <v/>
      </c>
      <c r="D64" s="4" t="str">
        <f>IF('[1]368 Community Cash Income'!$C64=0,"",'[1]368 Community Cash Income'!D64)</f>
        <v/>
      </c>
      <c r="E64" s="4" t="str">
        <f>IF('[1]368 Community Cash Income'!$C64=0,"",'[1]368 Community Cash Income'!E64)</f>
        <v/>
      </c>
      <c r="F64" s="4" t="str">
        <f>IF('[1]368 Community Cash Income'!$C64=0,"",'[1]368 Community Cash Income'!F64)</f>
        <v/>
      </c>
      <c r="G64" s="4" t="str">
        <f>IF('[1]368 Community Cash Income'!$C64=0,"",'[1]368 Community Cash Income'!G64)</f>
        <v/>
      </c>
      <c r="H64" s="4" t="str">
        <f>IF('[1]368 Community Cash Income'!$C64=0,"",'[1]368 Community Cash Income'!H64)</f>
        <v/>
      </c>
      <c r="I64" s="4"/>
    </row>
    <row r="65" spans="2:9">
      <c r="B65" s="4" t="str">
        <f>IF('[1]368 Community Cash Income'!B65=0,"",'[1]368 Community Cash Income'!B65)</f>
        <v/>
      </c>
      <c r="C65" s="4" t="str">
        <f>IF('[1]368 Community Cash Income'!C65=0,"",'[1]368 Community Cash Income'!C65)</f>
        <v/>
      </c>
      <c r="D65" s="4" t="str">
        <f>IF('[1]368 Community Cash Income'!$C65=0,"",'[1]368 Community Cash Income'!D65)</f>
        <v/>
      </c>
      <c r="E65" s="4" t="str">
        <f>IF('[1]368 Community Cash Income'!$C65=0,"",'[1]368 Community Cash Income'!E65)</f>
        <v/>
      </c>
      <c r="F65" s="4" t="str">
        <f>IF('[1]368 Community Cash Income'!$C65=0,"",'[1]368 Community Cash Income'!F65)</f>
        <v/>
      </c>
      <c r="G65" s="4" t="str">
        <f>IF('[1]368 Community Cash Income'!$C65=0,"",'[1]368 Community Cash Income'!G65)</f>
        <v/>
      </c>
      <c r="H65" s="4" t="str">
        <f>IF('[1]368 Community Cash Income'!$C65=0,"",'[1]368 Community Cash Income'!H65)</f>
        <v/>
      </c>
      <c r="I65" s="4"/>
    </row>
    <row r="66" spans="2:9">
      <c r="B66" s="4" t="str">
        <f>IF('[1]368 Community Cash Income'!B66=0,"",'[1]368 Community Cash Income'!B66)</f>
        <v/>
      </c>
      <c r="C66" s="4" t="str">
        <f>IF('[1]368 Community Cash Income'!C66=0,"",'[1]368 Community Cash Income'!C66)</f>
        <v/>
      </c>
      <c r="D66" s="4" t="str">
        <f>IF('[1]368 Community Cash Income'!$C66=0,"",'[1]368 Community Cash Income'!D66)</f>
        <v/>
      </c>
      <c r="E66" s="4" t="str">
        <f>IF('[1]368 Community Cash Income'!$C66=0,"",'[1]368 Community Cash Income'!E66)</f>
        <v/>
      </c>
      <c r="F66" s="4" t="str">
        <f>IF('[1]368 Community Cash Income'!$C66=0,"",'[1]368 Community Cash Income'!F66)</f>
        <v/>
      </c>
      <c r="G66" s="4" t="str">
        <f>IF('[1]368 Community Cash Income'!$C66=0,"",'[1]368 Community Cash Income'!G66)</f>
        <v/>
      </c>
      <c r="H66" s="4" t="str">
        <f>IF('[1]368 Community Cash Income'!$C66=0,"",'[1]368 Community Cash Income'!H66)</f>
        <v/>
      </c>
      <c r="I66" s="4"/>
    </row>
    <row r="67" spans="2:9">
      <c r="B67" s="4" t="str">
        <f>IF('[1]368 Community Cash Income'!B67=0,"",'[1]368 Community Cash Income'!B67)</f>
        <v/>
      </c>
      <c r="C67" s="4" t="str">
        <f>IF('[1]368 Community Cash Income'!C67=0,"",'[1]368 Community Cash Income'!C67)</f>
        <v/>
      </c>
      <c r="D67" s="4" t="str">
        <f>IF('[1]368 Community Cash Income'!$C67=0,"",'[1]368 Community Cash Income'!D67)</f>
        <v/>
      </c>
      <c r="E67" s="4" t="str">
        <f>IF('[1]368 Community Cash Income'!$C67=0,"",'[1]368 Community Cash Income'!E67)</f>
        <v/>
      </c>
      <c r="F67" s="4" t="str">
        <f>IF('[1]368 Community Cash Income'!$C67=0,"",'[1]368 Community Cash Income'!F67)</f>
        <v/>
      </c>
      <c r="G67" s="4" t="str">
        <f>IF('[1]368 Community Cash Income'!$C67=0,"",'[1]368 Community Cash Income'!G67)</f>
        <v/>
      </c>
      <c r="H67" s="4" t="str">
        <f>IF('[1]368 Community Cash Income'!$C67=0,"",'[1]368 Community Cash Income'!H67)</f>
        <v/>
      </c>
      <c r="I67" s="4"/>
    </row>
    <row r="68" spans="2:9">
      <c r="B68" s="4" t="str">
        <f>IF('[1]368 Community Cash Income'!B68=0,"",'[1]368 Community Cash Income'!B68)</f>
        <v/>
      </c>
      <c r="C68" s="4" t="str">
        <f>IF('[1]368 Community Cash Income'!C68=0,"",'[1]368 Community Cash Income'!C68)</f>
        <v/>
      </c>
      <c r="D68" s="4" t="str">
        <f>IF('[1]368 Community Cash Income'!$C68=0,"",'[1]368 Community Cash Income'!D68)</f>
        <v/>
      </c>
      <c r="E68" s="4" t="str">
        <f>IF('[1]368 Community Cash Income'!$C68=0,"",'[1]368 Community Cash Income'!E68)</f>
        <v/>
      </c>
      <c r="F68" s="4" t="str">
        <f>IF('[1]368 Community Cash Income'!$C68=0,"",'[1]368 Community Cash Income'!F68)</f>
        <v/>
      </c>
      <c r="G68" s="4" t="str">
        <f>IF('[1]368 Community Cash Income'!$C68=0,"",'[1]368 Community Cash Income'!G68)</f>
        <v/>
      </c>
      <c r="H68" s="4" t="str">
        <f>IF('[1]368 Community Cash Income'!$C68=0,"",'[1]368 Community Cash Income'!H68)</f>
        <v/>
      </c>
      <c r="I68" s="4"/>
    </row>
    <row r="69" spans="2:9">
      <c r="B69" s="4" t="str">
        <f>IF('[1]368 Community Cash Income'!B69=0,"",'[1]368 Community Cash Income'!B69)</f>
        <v/>
      </c>
      <c r="C69" s="4" t="str">
        <f>IF('[1]368 Community Cash Income'!C69=0,"",'[1]368 Community Cash Income'!C69)</f>
        <v/>
      </c>
      <c r="D69" s="4" t="str">
        <f>IF('[1]368 Community Cash Income'!$C69=0,"",'[1]368 Community Cash Income'!D69)</f>
        <v/>
      </c>
      <c r="E69" s="4" t="str">
        <f>IF('[1]368 Community Cash Income'!$C69=0,"",'[1]368 Community Cash Income'!E69)</f>
        <v/>
      </c>
      <c r="F69" s="4" t="str">
        <f>IF('[1]368 Community Cash Income'!$C69=0,"",'[1]368 Community Cash Income'!F69)</f>
        <v/>
      </c>
      <c r="G69" s="4" t="str">
        <f>IF('[1]368 Community Cash Income'!$C69=0,"",'[1]368 Community Cash Income'!G69)</f>
        <v/>
      </c>
      <c r="H69" s="4" t="str">
        <f>IF('[1]368 Community Cash Income'!$C69=0,"",'[1]368 Community Cash Income'!H69)</f>
        <v/>
      </c>
      <c r="I69" s="4"/>
    </row>
    <row r="70" spans="2:9">
      <c r="B70" s="4" t="str">
        <f>IF('[1]368 Community Cash Income'!B70=0,"",'[1]368 Community Cash Income'!B70)</f>
        <v/>
      </c>
      <c r="C70" s="4" t="str">
        <f>IF('[1]368 Community Cash Income'!C70=0,"",'[1]368 Community Cash Income'!C70)</f>
        <v/>
      </c>
      <c r="D70" s="4" t="str">
        <f>IF('[1]368 Community Cash Income'!$C70=0,"",'[1]368 Community Cash Income'!D70)</f>
        <v/>
      </c>
      <c r="E70" s="4" t="str">
        <f>IF('[1]368 Community Cash Income'!$C70=0,"",'[1]368 Community Cash Income'!E70)</f>
        <v/>
      </c>
      <c r="F70" s="4" t="str">
        <f>IF('[1]368 Community Cash Income'!$C70=0,"",'[1]368 Community Cash Income'!F70)</f>
        <v/>
      </c>
      <c r="G70" s="4" t="str">
        <f>IF('[1]368 Community Cash Income'!$C70=0,"",'[1]368 Community Cash Income'!G70)</f>
        <v/>
      </c>
      <c r="H70" s="4" t="str">
        <f>IF('[1]368 Community Cash Income'!$C70=0,"",'[1]368 Community Cash Income'!H70)</f>
        <v/>
      </c>
      <c r="I70" s="4"/>
    </row>
    <row r="71" spans="2:9">
      <c r="B71" s="4" t="str">
        <f>IF('[1]368 Community Cash Income'!B71=0,"",'[1]368 Community Cash Income'!B71)</f>
        <v/>
      </c>
      <c r="C71" s="4" t="str">
        <f>IF('[1]368 Community Cash Income'!C71=0,"",'[1]368 Community Cash Income'!C71)</f>
        <v/>
      </c>
      <c r="D71" s="4" t="str">
        <f>IF('[1]368 Community Cash Income'!$C71=0,"",'[1]368 Community Cash Income'!D71)</f>
        <v/>
      </c>
      <c r="E71" s="4" t="str">
        <f>IF('[1]368 Community Cash Income'!$C71=0,"",'[1]368 Community Cash Income'!E71)</f>
        <v/>
      </c>
      <c r="F71" s="4" t="str">
        <f>IF('[1]368 Community Cash Income'!$C71=0,"",'[1]368 Community Cash Income'!F71)</f>
        <v/>
      </c>
      <c r="G71" s="4" t="str">
        <f>IF('[1]368 Community Cash Income'!$C71=0,"",'[1]368 Community Cash Income'!G71)</f>
        <v/>
      </c>
      <c r="H71" s="4" t="str">
        <f>IF('[1]368 Community Cash Income'!$C71=0,"",'[1]368 Community Cash Income'!H71)</f>
        <v/>
      </c>
      <c r="I71" s="4"/>
    </row>
    <row r="72" spans="2:9">
      <c r="B72" s="4" t="str">
        <f>IF('[1]368 Community Cash Income'!B72=0,"",'[1]368 Community Cash Income'!B72)</f>
        <v/>
      </c>
      <c r="C72" s="4" t="str">
        <f>IF('[1]368 Community Cash Income'!C72=0,"",'[1]368 Community Cash Income'!C72)</f>
        <v/>
      </c>
      <c r="D72" s="4" t="str">
        <f>IF('[1]368 Community Cash Income'!$C72=0,"",'[1]368 Community Cash Income'!D72)</f>
        <v/>
      </c>
      <c r="E72" s="4" t="str">
        <f>IF('[1]368 Community Cash Income'!$C72=0,"",'[1]368 Community Cash Income'!E72)</f>
        <v/>
      </c>
      <c r="F72" s="4" t="str">
        <f>IF('[1]368 Community Cash Income'!$C72=0,"",'[1]368 Community Cash Income'!F72)</f>
        <v/>
      </c>
      <c r="G72" s="4" t="str">
        <f>IF('[1]368 Community Cash Income'!$C72=0,"",'[1]368 Community Cash Income'!G72)</f>
        <v/>
      </c>
      <c r="H72" s="4" t="str">
        <f>IF('[1]368 Community Cash Income'!$C72=0,"",'[1]368 Community Cash Income'!H72)</f>
        <v/>
      </c>
      <c r="I72" s="4"/>
    </row>
    <row r="73" spans="2:9">
      <c r="B73" s="4" t="str">
        <f>IF('[1]368 Community Cash Income'!B73=0,"",'[1]368 Community Cash Income'!B73)</f>
        <v/>
      </c>
      <c r="C73" s="4" t="str">
        <f>IF('[1]368 Community Cash Income'!C73=0,"",'[1]368 Community Cash Income'!C73)</f>
        <v/>
      </c>
      <c r="D73" s="4" t="str">
        <f>IF('[1]368 Community Cash Income'!$C73=0,"",'[1]368 Community Cash Income'!D73)</f>
        <v/>
      </c>
      <c r="E73" s="4" t="str">
        <f>IF('[1]368 Community Cash Income'!$C73=0,"",'[1]368 Community Cash Income'!E73)</f>
        <v/>
      </c>
      <c r="F73" s="4" t="str">
        <f>IF('[1]368 Community Cash Income'!$C73=0,"",'[1]368 Community Cash Income'!F73)</f>
        <v/>
      </c>
      <c r="G73" s="4" t="str">
        <f>IF('[1]368 Community Cash Income'!$C73=0,"",'[1]368 Community Cash Income'!G73)</f>
        <v/>
      </c>
      <c r="H73" s="4" t="str">
        <f>IF('[1]368 Community Cash Income'!$C73=0,"",'[1]368 Community Cash Income'!H73)</f>
        <v/>
      </c>
      <c r="I73" s="4"/>
    </row>
    <row r="74" spans="2:9">
      <c r="B74" s="4" t="str">
        <f>IF('[1]368 Community Cash Income'!B74=0,"",'[1]368 Community Cash Income'!B74)</f>
        <v/>
      </c>
      <c r="C74" s="4" t="str">
        <f>IF('[1]368 Community Cash Income'!C74=0,"",'[1]368 Community Cash Income'!C74)</f>
        <v/>
      </c>
      <c r="D74" s="4" t="str">
        <f>IF('[1]368 Community Cash Income'!$C74=0,"",'[1]368 Community Cash Income'!D74)</f>
        <v/>
      </c>
      <c r="E74" s="4" t="str">
        <f>IF('[1]368 Community Cash Income'!$C74=0,"",'[1]368 Community Cash Income'!E74)</f>
        <v/>
      </c>
      <c r="F74" s="4" t="str">
        <f>IF('[1]368 Community Cash Income'!$C74=0,"",'[1]368 Community Cash Income'!F74)</f>
        <v/>
      </c>
      <c r="G74" s="4" t="str">
        <f>IF('[1]368 Community Cash Income'!$C74=0,"",'[1]368 Community Cash Income'!G74)</f>
        <v/>
      </c>
      <c r="H74" s="4" t="str">
        <f>IF('[1]368 Community Cash Income'!$C74=0,"",'[1]368 Community Cash Income'!H74)</f>
        <v/>
      </c>
      <c r="I74" s="4"/>
    </row>
    <row r="75" spans="2:9">
      <c r="B75" s="4" t="str">
        <f>IF('[1]368 Community Cash Income'!B75=0,"",'[1]368 Community Cash Income'!B75)</f>
        <v/>
      </c>
      <c r="C75" s="4" t="str">
        <f>IF('[1]368 Community Cash Income'!C75=0,"",'[1]368 Community Cash Income'!C75)</f>
        <v/>
      </c>
      <c r="D75" s="4" t="str">
        <f>IF('[1]368 Community Cash Income'!$C75=0,"",'[1]368 Community Cash Income'!D75)</f>
        <v/>
      </c>
      <c r="E75" s="4" t="str">
        <f>IF('[1]368 Community Cash Income'!$C75=0,"",'[1]368 Community Cash Income'!E75)</f>
        <v/>
      </c>
      <c r="F75" s="4" t="str">
        <f>IF('[1]368 Community Cash Income'!$C75=0,"",'[1]368 Community Cash Income'!F75)</f>
        <v/>
      </c>
      <c r="G75" s="4" t="str">
        <f>IF('[1]368 Community Cash Income'!$C75=0,"",'[1]368 Community Cash Income'!G75)</f>
        <v/>
      </c>
      <c r="H75" s="4" t="str">
        <f>IF('[1]368 Community Cash Income'!$C75=0,"",'[1]368 Community Cash Income'!H75)</f>
        <v/>
      </c>
      <c r="I75" s="4"/>
    </row>
    <row r="76" spans="2:9">
      <c r="B76" s="4" t="str">
        <f>IF('[1]368 Community Cash Income'!B76=0,"",'[1]368 Community Cash Income'!B76)</f>
        <v/>
      </c>
      <c r="C76" s="4" t="str">
        <f>IF('[1]368 Community Cash Income'!C76=0,"",'[1]368 Community Cash Income'!C76)</f>
        <v/>
      </c>
      <c r="D76" s="4" t="str">
        <f>IF('[1]368 Community Cash Income'!$C76=0,"",'[1]368 Community Cash Income'!D76)</f>
        <v/>
      </c>
      <c r="E76" s="4" t="str">
        <f>IF('[1]368 Community Cash Income'!$C76=0,"",'[1]368 Community Cash Income'!E76)</f>
        <v/>
      </c>
      <c r="F76" s="4" t="str">
        <f>IF('[1]368 Community Cash Income'!$C76=0,"",'[1]368 Community Cash Income'!F76)</f>
        <v/>
      </c>
      <c r="G76" s="4" t="str">
        <f>IF('[1]368 Community Cash Income'!$C76=0,"",'[1]368 Community Cash Income'!G76)</f>
        <v/>
      </c>
      <c r="H76" s="4" t="str">
        <f>IF('[1]368 Community Cash Income'!$C76=0,"",'[1]368 Community Cash Income'!H76)</f>
        <v/>
      </c>
      <c r="I76" s="4"/>
    </row>
    <row r="77" spans="2:9">
      <c r="B77" s="4" t="str">
        <f>IF('[1]368 Community Cash Income'!B77=0,"",'[1]368 Community Cash Income'!B77)</f>
        <v/>
      </c>
      <c r="C77" s="4" t="str">
        <f>IF('[1]368 Community Cash Income'!C77=0,"",'[1]368 Community Cash Income'!C77)</f>
        <v/>
      </c>
      <c r="D77" s="4" t="str">
        <f>IF('[1]368 Community Cash Income'!$C77=0,"",'[1]368 Community Cash Income'!D77)</f>
        <v/>
      </c>
      <c r="E77" s="4" t="str">
        <f>IF('[1]368 Community Cash Income'!$C77=0,"",'[1]368 Community Cash Income'!E77)</f>
        <v/>
      </c>
      <c r="F77" s="4" t="str">
        <f>IF('[1]368 Community Cash Income'!$C77=0,"",'[1]368 Community Cash Income'!F77)</f>
        <v/>
      </c>
      <c r="G77" s="4" t="str">
        <f>IF('[1]368 Community Cash Income'!$C77=0,"",'[1]368 Community Cash Income'!G77)</f>
        <v/>
      </c>
      <c r="H77" s="4" t="str">
        <f>IF('[1]368 Community Cash Income'!$C77=0,"",'[1]368 Community Cash Income'!H77)</f>
        <v/>
      </c>
      <c r="I77" s="4"/>
    </row>
    <row r="78" spans="2:9">
      <c r="B78" s="4" t="str">
        <f>IF('[1]368 Community Cash Income'!B78=0,"",'[1]368 Community Cash Income'!B78)</f>
        <v/>
      </c>
      <c r="C78" s="4" t="str">
        <f>IF('[1]368 Community Cash Income'!C78=0,"",'[1]368 Community Cash Income'!C78)</f>
        <v/>
      </c>
      <c r="D78" s="4" t="str">
        <f>IF('[1]368 Community Cash Income'!$C78=0,"",'[1]368 Community Cash Income'!D78)</f>
        <v/>
      </c>
      <c r="E78" s="4" t="str">
        <f>IF('[1]368 Community Cash Income'!$C78=0,"",'[1]368 Community Cash Income'!E78)</f>
        <v/>
      </c>
      <c r="F78" s="4" t="str">
        <f>IF('[1]368 Community Cash Income'!$C78=0,"",'[1]368 Community Cash Income'!F78)</f>
        <v/>
      </c>
      <c r="G78" s="4" t="str">
        <f>IF('[1]368 Community Cash Income'!$C78=0,"",'[1]368 Community Cash Income'!G78)</f>
        <v/>
      </c>
      <c r="H78" s="4" t="str">
        <f>IF('[1]368 Community Cash Income'!$C78=0,"",'[1]368 Community Cash Income'!H78)</f>
        <v/>
      </c>
      <c r="I78" s="4"/>
    </row>
    <row r="79" spans="2:9">
      <c r="B79" s="4" t="str">
        <f>IF('[1]368 Community Cash Income'!B79=0,"",'[1]368 Community Cash Income'!B79)</f>
        <v/>
      </c>
      <c r="C79" s="4" t="str">
        <f>IF('[1]368 Community Cash Income'!C79=0,"",'[1]368 Community Cash Income'!C79)</f>
        <v/>
      </c>
      <c r="D79" s="4" t="str">
        <f>IF('[1]368 Community Cash Income'!$C79=0,"",'[1]368 Community Cash Income'!D79)</f>
        <v/>
      </c>
      <c r="E79" s="4" t="str">
        <f>IF('[1]368 Community Cash Income'!$C79=0,"",'[1]368 Community Cash Income'!E79)</f>
        <v/>
      </c>
      <c r="F79" s="4" t="str">
        <f>IF('[1]368 Community Cash Income'!$C79=0,"",'[1]368 Community Cash Income'!F79)</f>
        <v/>
      </c>
      <c r="G79" s="4" t="str">
        <f>IF('[1]368 Community Cash Income'!$C79=0,"",'[1]368 Community Cash Income'!G79)</f>
        <v/>
      </c>
      <c r="H79" s="4" t="str">
        <f>IF('[1]368 Community Cash Income'!$C79=0,"",'[1]368 Community Cash Income'!H79)</f>
        <v/>
      </c>
      <c r="I79" s="4"/>
    </row>
    <row r="80" spans="2:9">
      <c r="B80" s="4" t="str">
        <f>IF('[1]368 Community Cash Income'!B80=0,"",'[1]368 Community Cash Income'!B80)</f>
        <v/>
      </c>
      <c r="C80" s="4" t="str">
        <f>IF('[1]368 Community Cash Income'!C80=0,"",'[1]368 Community Cash Income'!C80)</f>
        <v/>
      </c>
      <c r="D80" s="4" t="str">
        <f>IF('[1]368 Community Cash Income'!$C80=0,"",'[1]368 Community Cash Income'!D80)</f>
        <v/>
      </c>
      <c r="E80" s="4" t="str">
        <f>IF('[1]368 Community Cash Income'!$C80=0,"",'[1]368 Community Cash Income'!E80)</f>
        <v/>
      </c>
      <c r="F80" s="4" t="str">
        <f>IF('[1]368 Community Cash Income'!$C80=0,"",'[1]368 Community Cash Income'!F80)</f>
        <v/>
      </c>
      <c r="G80" s="4" t="str">
        <f>IF('[1]368 Community Cash Income'!$C80=0,"",'[1]368 Community Cash Income'!G80)</f>
        <v/>
      </c>
      <c r="H80" s="4" t="str">
        <f>IF('[1]368 Community Cash Income'!$C80=0,"",'[1]368 Community Cash Income'!H80)</f>
        <v/>
      </c>
      <c r="I80" s="4"/>
    </row>
    <row r="81" spans="2:9">
      <c r="B81" s="4" t="str">
        <f>IF('[1]368 Community Cash Income'!B81=0,"",'[1]368 Community Cash Income'!B81)</f>
        <v/>
      </c>
      <c r="C81" s="4" t="str">
        <f>IF('[1]368 Community Cash Income'!C81=0,"",'[1]368 Community Cash Income'!C81)</f>
        <v/>
      </c>
      <c r="D81" s="4" t="str">
        <f>IF('[1]368 Community Cash Income'!$C81=0,"",'[1]368 Community Cash Income'!D81)</f>
        <v/>
      </c>
      <c r="E81" s="4" t="str">
        <f>IF('[1]368 Community Cash Income'!$C81=0,"",'[1]368 Community Cash Income'!E81)</f>
        <v/>
      </c>
      <c r="F81" s="4" t="str">
        <f>IF('[1]368 Community Cash Income'!$C81=0,"",'[1]368 Community Cash Income'!F81)</f>
        <v/>
      </c>
      <c r="G81" s="4" t="str">
        <f>IF('[1]368 Community Cash Income'!$C81=0,"",'[1]368 Community Cash Income'!G81)</f>
        <v/>
      </c>
      <c r="H81" s="4" t="str">
        <f>IF('[1]368 Community Cash Income'!$C81=0,"",'[1]368 Community Cash Income'!H81)</f>
        <v/>
      </c>
      <c r="I81" s="4"/>
    </row>
    <row r="82" spans="2:9">
      <c r="B82" s="4" t="str">
        <f>IF('[1]368 Community Cash Income'!B82=0,"",'[1]368 Community Cash Income'!B82)</f>
        <v/>
      </c>
      <c r="C82" s="4" t="str">
        <f>IF('[1]368 Community Cash Income'!C82=0,"",'[1]368 Community Cash Income'!C82)</f>
        <v/>
      </c>
      <c r="D82" s="4" t="str">
        <f>IF('[1]368 Community Cash Income'!$C82=0,"",'[1]368 Community Cash Income'!D82)</f>
        <v/>
      </c>
      <c r="E82" s="4" t="str">
        <f>IF('[1]368 Community Cash Income'!$C82=0,"",'[1]368 Community Cash Income'!E82)</f>
        <v/>
      </c>
      <c r="F82" s="4" t="str">
        <f>IF('[1]368 Community Cash Income'!$C82=0,"",'[1]368 Community Cash Income'!F82)</f>
        <v/>
      </c>
      <c r="G82" s="4" t="str">
        <f>IF('[1]368 Community Cash Income'!$C82=0,"",'[1]368 Community Cash Income'!G82)</f>
        <v/>
      </c>
      <c r="H82" s="4" t="str">
        <f>IF('[1]368 Community Cash Income'!$C82=0,"",'[1]368 Community Cash Income'!H82)</f>
        <v/>
      </c>
      <c r="I82" s="4"/>
    </row>
    <row r="83" spans="2:9">
      <c r="B83" s="4" t="str">
        <f>IF('[1]368 Community Cash Income'!B83=0,"",'[1]368 Community Cash Income'!B83)</f>
        <v/>
      </c>
      <c r="C83" s="4" t="str">
        <f>IF('[1]368 Community Cash Income'!C83=0,"",'[1]368 Community Cash Income'!C83)</f>
        <v/>
      </c>
      <c r="D83" s="4" t="str">
        <f>IF('[1]368 Community Cash Income'!$C83=0,"",'[1]368 Community Cash Income'!D83)</f>
        <v/>
      </c>
      <c r="E83" s="4" t="str">
        <f>IF('[1]368 Community Cash Income'!$C83=0,"",'[1]368 Community Cash Income'!E83)</f>
        <v/>
      </c>
      <c r="F83" s="4" t="str">
        <f>IF('[1]368 Community Cash Income'!$C83=0,"",'[1]368 Community Cash Income'!F83)</f>
        <v/>
      </c>
      <c r="G83" s="4" t="str">
        <f>IF('[1]368 Community Cash Income'!$C83=0,"",'[1]368 Community Cash Income'!G83)</f>
        <v/>
      </c>
      <c r="H83" s="4" t="str">
        <f>IF('[1]368 Community Cash Income'!$C83=0,"",'[1]368 Community Cash Income'!H83)</f>
        <v/>
      </c>
      <c r="I83" s="4"/>
    </row>
    <row r="84" spans="2:9">
      <c r="B84" s="4" t="str">
        <f>IF('[1]368 Community Cash Income'!B84=0,"",'[1]368 Community Cash Income'!B84)</f>
        <v/>
      </c>
      <c r="C84" s="4" t="str">
        <f>IF('[1]368 Community Cash Income'!C84=0,"",'[1]368 Community Cash Income'!C84)</f>
        <v/>
      </c>
      <c r="D84" s="4" t="str">
        <f>IF('[1]368 Community Cash Income'!$C84=0,"",'[1]368 Community Cash Income'!D84)</f>
        <v/>
      </c>
      <c r="E84" s="4" t="str">
        <f>IF('[1]368 Community Cash Income'!$C84=0,"",'[1]368 Community Cash Income'!E84)</f>
        <v/>
      </c>
      <c r="F84" s="4" t="str">
        <f>IF('[1]368 Community Cash Income'!$C84=0,"",'[1]368 Community Cash Income'!F84)</f>
        <v/>
      </c>
      <c r="G84" s="4" t="str">
        <f>IF('[1]368 Community Cash Income'!$C84=0,"",'[1]368 Community Cash Income'!G84)</f>
        <v/>
      </c>
      <c r="H84" s="4" t="str">
        <f>IF('[1]368 Community Cash Income'!$C84=0,"",'[1]368 Community Cash Income'!H84)</f>
        <v/>
      </c>
      <c r="I84" s="4"/>
    </row>
    <row r="85" spans="2:9">
      <c r="B85" s="4" t="str">
        <f>IF('[1]368 Community Cash Income'!B85=0,"",'[1]368 Community Cash Income'!B85)</f>
        <v/>
      </c>
      <c r="C85" s="4" t="str">
        <f>IF('[1]368 Community Cash Income'!C85=0,"",'[1]368 Community Cash Income'!C85)</f>
        <v/>
      </c>
      <c r="D85" s="4" t="str">
        <f>IF('[1]368 Community Cash Income'!$C85=0,"",'[1]368 Community Cash Income'!D85)</f>
        <v/>
      </c>
      <c r="E85" s="4" t="str">
        <f>IF('[1]368 Community Cash Income'!$C85=0,"",'[1]368 Community Cash Income'!E85)</f>
        <v/>
      </c>
      <c r="F85" s="4" t="str">
        <f>IF('[1]368 Community Cash Income'!$C85=0,"",'[1]368 Community Cash Income'!F85)</f>
        <v/>
      </c>
      <c r="G85" s="4" t="str">
        <f>IF('[1]368 Community Cash Income'!$C85=0,"",'[1]368 Community Cash Income'!G85)</f>
        <v/>
      </c>
      <c r="H85" s="4" t="str">
        <f>IF('[1]368 Community Cash Income'!$C85=0,"",'[1]368 Community Cash Income'!H85)</f>
        <v/>
      </c>
      <c r="I85" s="4"/>
    </row>
    <row r="86" spans="2:9">
      <c r="B86" s="4" t="str">
        <f>IF('[1]368 Community Cash Income'!B86=0,"",'[1]368 Community Cash Income'!B86)</f>
        <v/>
      </c>
      <c r="C86" s="4" t="str">
        <f>IF('[1]368 Community Cash Income'!C86=0,"",'[1]368 Community Cash Income'!C86)</f>
        <v/>
      </c>
      <c r="D86" s="4" t="str">
        <f>IF('[1]368 Community Cash Income'!$C86=0,"",'[1]368 Community Cash Income'!D86)</f>
        <v/>
      </c>
      <c r="E86" s="4" t="str">
        <f>IF('[1]368 Community Cash Income'!$C86=0,"",'[1]368 Community Cash Income'!E86)</f>
        <v/>
      </c>
      <c r="F86" s="4" t="str">
        <f>IF('[1]368 Community Cash Income'!$C86=0,"",'[1]368 Community Cash Income'!F86)</f>
        <v/>
      </c>
      <c r="G86" s="4" t="str">
        <f>IF('[1]368 Community Cash Income'!$C86=0,"",'[1]368 Community Cash Income'!G86)</f>
        <v/>
      </c>
      <c r="H86" s="4" t="str">
        <f>IF('[1]368 Community Cash Income'!$C86=0,"",'[1]368 Community Cash Income'!H86)</f>
        <v/>
      </c>
      <c r="I86" s="4"/>
    </row>
    <row r="87" spans="2:9">
      <c r="B87" s="4" t="str">
        <f>IF('[1]368 Community Cash Income'!B87=0,"",'[1]368 Community Cash Income'!B87)</f>
        <v/>
      </c>
      <c r="C87" s="4" t="str">
        <f>IF('[1]368 Community Cash Income'!C87=0,"",'[1]368 Community Cash Income'!C87)</f>
        <v/>
      </c>
      <c r="D87" s="4" t="str">
        <f>IF('[1]368 Community Cash Income'!$C87=0,"",'[1]368 Community Cash Income'!D87)</f>
        <v/>
      </c>
      <c r="E87" s="4" t="str">
        <f>IF('[1]368 Community Cash Income'!$C87=0,"",'[1]368 Community Cash Income'!E87)</f>
        <v/>
      </c>
      <c r="F87" s="4" t="str">
        <f>IF('[1]368 Community Cash Income'!$C87=0,"",'[1]368 Community Cash Income'!F87)</f>
        <v/>
      </c>
      <c r="G87" s="4" t="str">
        <f>IF('[1]368 Community Cash Income'!$C87=0,"",'[1]368 Community Cash Income'!G87)</f>
        <v/>
      </c>
      <c r="H87" s="4" t="str">
        <f>IF('[1]368 Community Cash Income'!$C87=0,"",'[1]368 Community Cash Income'!H87)</f>
        <v/>
      </c>
      <c r="I87" s="4"/>
    </row>
    <row r="88" spans="2:9">
      <c r="B88" s="4" t="str">
        <f>IF('[1]368 Community Cash Income'!B88=0,"",'[1]368 Community Cash Income'!B88)</f>
        <v/>
      </c>
      <c r="C88" s="4" t="str">
        <f>IF('[1]368 Community Cash Income'!C88=0,"",'[1]368 Community Cash Income'!C88)</f>
        <v/>
      </c>
      <c r="D88" s="4" t="str">
        <f>IF('[1]368 Community Cash Income'!$C88=0,"",'[1]368 Community Cash Income'!D88)</f>
        <v/>
      </c>
      <c r="E88" s="4" t="str">
        <f>IF('[1]368 Community Cash Income'!$C88=0,"",'[1]368 Community Cash Income'!E88)</f>
        <v/>
      </c>
      <c r="F88" s="4" t="str">
        <f>IF('[1]368 Community Cash Income'!$C88=0,"",'[1]368 Community Cash Income'!F88)</f>
        <v/>
      </c>
      <c r="G88" s="4" t="str">
        <f>IF('[1]368 Community Cash Income'!$C88=0,"",'[1]368 Community Cash Income'!G88)</f>
        <v/>
      </c>
      <c r="H88" s="4" t="str">
        <f>IF('[1]368 Community Cash Income'!$C88=0,"",'[1]368 Community Cash Income'!H88)</f>
        <v/>
      </c>
      <c r="I88" s="4"/>
    </row>
    <row r="89" spans="2:9">
      <c r="B89" s="4" t="str">
        <f>IF('[1]368 Community Cash Income'!B89=0,"",'[1]368 Community Cash Income'!B89)</f>
        <v/>
      </c>
      <c r="C89" s="4" t="str">
        <f>IF('[1]368 Community Cash Income'!C89=0,"",'[1]368 Community Cash Income'!C89)</f>
        <v/>
      </c>
      <c r="D89" s="4" t="str">
        <f>IF('[1]368 Community Cash Income'!$C89=0,"",'[1]368 Community Cash Income'!D89)</f>
        <v/>
      </c>
      <c r="E89" s="4" t="str">
        <f>IF('[1]368 Community Cash Income'!$C89=0,"",'[1]368 Community Cash Income'!E89)</f>
        <v/>
      </c>
      <c r="F89" s="4" t="str">
        <f>IF('[1]368 Community Cash Income'!$C89=0,"",'[1]368 Community Cash Income'!F89)</f>
        <v/>
      </c>
      <c r="G89" s="4" t="str">
        <f>IF('[1]368 Community Cash Income'!$C89=0,"",'[1]368 Community Cash Income'!G89)</f>
        <v/>
      </c>
      <c r="H89" s="4" t="str">
        <f>IF('[1]368 Community Cash Income'!$C89=0,"",'[1]368 Community Cash Income'!H89)</f>
        <v/>
      </c>
      <c r="I89" s="4"/>
    </row>
    <row r="90" spans="2:9">
      <c r="B90" s="4" t="str">
        <f>IF('[1]368 Community Cash Income'!B90=0,"",'[1]368 Community Cash Income'!B90)</f>
        <v/>
      </c>
      <c r="C90" s="4" t="str">
        <f>IF('[1]368 Community Cash Income'!C90=0,"",'[1]368 Community Cash Income'!C90)</f>
        <v/>
      </c>
      <c r="D90" s="4" t="str">
        <f>IF('[1]368 Community Cash Income'!$C90=0,"",'[1]368 Community Cash Income'!D90)</f>
        <v/>
      </c>
      <c r="E90" s="4" t="str">
        <f>IF('[1]368 Community Cash Income'!$C90=0,"",'[1]368 Community Cash Income'!E90)</f>
        <v/>
      </c>
      <c r="F90" s="4" t="str">
        <f>IF('[1]368 Community Cash Income'!$C90=0,"",'[1]368 Community Cash Income'!F90)</f>
        <v/>
      </c>
      <c r="G90" s="4" t="str">
        <f>IF('[1]368 Community Cash Income'!$C90=0,"",'[1]368 Community Cash Income'!G90)</f>
        <v/>
      </c>
      <c r="H90" s="4" t="str">
        <f>IF('[1]368 Community Cash Income'!$C90=0,"",'[1]368 Community Cash Income'!H90)</f>
        <v/>
      </c>
      <c r="I90" s="4"/>
    </row>
    <row r="91" spans="2:9">
      <c r="B91" s="4" t="str">
        <f>IF('[1]368 Community Cash Income'!B91=0,"",'[1]368 Community Cash Income'!B91)</f>
        <v/>
      </c>
      <c r="C91" s="4" t="str">
        <f>IF('[1]368 Community Cash Income'!C91=0,"",'[1]368 Community Cash Income'!C91)</f>
        <v/>
      </c>
      <c r="D91" s="4" t="str">
        <f>IF('[1]368 Community Cash Income'!$C91=0,"",'[1]368 Community Cash Income'!D91)</f>
        <v/>
      </c>
      <c r="E91" s="4" t="str">
        <f>IF('[1]368 Community Cash Income'!$C91=0,"",'[1]368 Community Cash Income'!E91)</f>
        <v/>
      </c>
      <c r="F91" s="4" t="str">
        <f>IF('[1]368 Community Cash Income'!$C91=0,"",'[1]368 Community Cash Income'!F91)</f>
        <v/>
      </c>
      <c r="G91" s="4" t="str">
        <f>IF('[1]368 Community Cash Income'!$C91=0,"",'[1]368 Community Cash Income'!G91)</f>
        <v/>
      </c>
      <c r="H91" s="4" t="str">
        <f>IF('[1]368 Community Cash Income'!$C91=0,"",'[1]368 Community Cash Income'!H91)</f>
        <v/>
      </c>
      <c r="I91" s="4"/>
    </row>
    <row r="92" spans="2:9">
      <c r="B92" s="4" t="str">
        <f>IF('[1]368 Community Cash Income'!B92=0,"",'[1]368 Community Cash Income'!B92)</f>
        <v/>
      </c>
      <c r="C92" s="4" t="str">
        <f>IF('[1]368 Community Cash Income'!C92=0,"",'[1]368 Community Cash Income'!C92)</f>
        <v/>
      </c>
      <c r="D92" s="4" t="str">
        <f>IF('[1]368 Community Cash Income'!$C92=0,"",'[1]368 Community Cash Income'!D92)</f>
        <v/>
      </c>
      <c r="E92" s="4" t="str">
        <f>IF('[1]368 Community Cash Income'!$C92=0,"",'[1]368 Community Cash Income'!E92)</f>
        <v/>
      </c>
      <c r="F92" s="4" t="str">
        <f>IF('[1]368 Community Cash Income'!$C92=0,"",'[1]368 Community Cash Income'!F92)</f>
        <v/>
      </c>
      <c r="G92" s="4" t="str">
        <f>IF('[1]368 Community Cash Income'!$C92=0,"",'[1]368 Community Cash Income'!G92)</f>
        <v/>
      </c>
      <c r="H92" s="4" t="str">
        <f>IF('[1]368 Community Cash Income'!$C92=0,"",'[1]368 Community Cash Income'!H92)</f>
        <v/>
      </c>
      <c r="I92" s="4"/>
    </row>
    <row r="93" spans="2:9">
      <c r="B93" s="4" t="str">
        <f>IF('[1]368 Community Cash Income'!B93=0,"",'[1]368 Community Cash Income'!B93)</f>
        <v/>
      </c>
      <c r="C93" s="4" t="str">
        <f>IF('[1]368 Community Cash Income'!C93=0,"",'[1]368 Community Cash Income'!C93)</f>
        <v/>
      </c>
      <c r="D93" s="4" t="str">
        <f>IF('[1]368 Community Cash Income'!$C93=0,"",'[1]368 Community Cash Income'!D93)</f>
        <v/>
      </c>
      <c r="E93" s="4" t="str">
        <f>IF('[1]368 Community Cash Income'!$C93=0,"",'[1]368 Community Cash Income'!E93)</f>
        <v/>
      </c>
      <c r="F93" s="4" t="str">
        <f>IF('[1]368 Community Cash Income'!$C93=0,"",'[1]368 Community Cash Income'!F93)</f>
        <v/>
      </c>
      <c r="G93" s="4" t="str">
        <f>IF('[1]368 Community Cash Income'!$C93=0,"",'[1]368 Community Cash Income'!G93)</f>
        <v/>
      </c>
      <c r="H93" s="4" t="str">
        <f>IF('[1]368 Community Cash Income'!$C93=0,"",'[1]368 Community Cash Income'!H93)</f>
        <v/>
      </c>
      <c r="I93" s="4"/>
    </row>
    <row r="94" spans="2:9">
      <c r="B94" s="4" t="str">
        <f>IF('[1]368 Community Cash Income'!B94=0,"",'[1]368 Community Cash Income'!B94)</f>
        <v/>
      </c>
      <c r="C94" s="4" t="str">
        <f>IF('[1]368 Community Cash Income'!C94=0,"",'[1]368 Community Cash Income'!C94)</f>
        <v/>
      </c>
      <c r="D94" s="4" t="str">
        <f>IF('[1]368 Community Cash Income'!$C94=0,"",'[1]368 Community Cash Income'!D94)</f>
        <v/>
      </c>
      <c r="E94" s="4" t="str">
        <f>IF('[1]368 Community Cash Income'!$C94=0,"",'[1]368 Community Cash Income'!E94)</f>
        <v/>
      </c>
      <c r="F94" s="4" t="str">
        <f>IF('[1]368 Community Cash Income'!$C94=0,"",'[1]368 Community Cash Income'!F94)</f>
        <v/>
      </c>
      <c r="G94" s="4" t="str">
        <f>IF('[1]368 Community Cash Income'!$C94=0,"",'[1]368 Community Cash Income'!G94)</f>
        <v/>
      </c>
      <c r="H94" s="4" t="str">
        <f>IF('[1]368 Community Cash Income'!$C94=0,"",'[1]368 Community Cash Income'!H94)</f>
        <v/>
      </c>
      <c r="I94" s="4"/>
    </row>
    <row r="95" spans="2:9">
      <c r="B95" s="4" t="str">
        <f>IF('[1]368 Community Cash Income'!B95=0,"",'[1]368 Community Cash Income'!B95)</f>
        <v/>
      </c>
      <c r="C95" s="4" t="str">
        <f>IF('[1]368 Community Cash Income'!C95=0,"",'[1]368 Community Cash Income'!C95)</f>
        <v/>
      </c>
      <c r="D95" s="4" t="str">
        <f>IF('[1]368 Community Cash Income'!$C95=0,"",'[1]368 Community Cash Income'!D95)</f>
        <v/>
      </c>
      <c r="E95" s="4" t="str">
        <f>IF('[1]368 Community Cash Income'!$C95=0,"",'[1]368 Community Cash Income'!E95)</f>
        <v/>
      </c>
      <c r="F95" s="4" t="str">
        <f>IF('[1]368 Community Cash Income'!$C95=0,"",'[1]368 Community Cash Income'!F95)</f>
        <v/>
      </c>
      <c r="G95" s="4" t="str">
        <f>IF('[1]368 Community Cash Income'!$C95=0,"",'[1]368 Community Cash Income'!G95)</f>
        <v/>
      </c>
      <c r="H95" s="4" t="str">
        <f>IF('[1]368 Community Cash Income'!$C95=0,"",'[1]368 Community Cash Income'!H95)</f>
        <v/>
      </c>
      <c r="I95" s="4"/>
    </row>
    <row r="96" spans="2:9">
      <c r="B96" s="4" t="str">
        <f>IF('[1]368 Community Cash Income'!B96=0,"",'[1]368 Community Cash Income'!B96)</f>
        <v/>
      </c>
      <c r="C96" s="4" t="str">
        <f>IF('[1]368 Community Cash Income'!C96=0,"",'[1]368 Community Cash Income'!C96)</f>
        <v/>
      </c>
      <c r="D96" s="4" t="str">
        <f>IF('[1]368 Community Cash Income'!$C96=0,"",'[1]368 Community Cash Income'!D96)</f>
        <v/>
      </c>
      <c r="E96" s="4" t="str">
        <f>IF('[1]368 Community Cash Income'!$C96=0,"",'[1]368 Community Cash Income'!E96)</f>
        <v/>
      </c>
      <c r="F96" s="4" t="str">
        <f>IF('[1]368 Community Cash Income'!$C96=0,"",'[1]368 Community Cash Income'!F96)</f>
        <v/>
      </c>
      <c r="G96" s="4" t="str">
        <f>IF('[1]368 Community Cash Income'!$C96=0,"",'[1]368 Community Cash Income'!G96)</f>
        <v/>
      </c>
      <c r="H96" s="4" t="str">
        <f>IF('[1]368 Community Cash Income'!$C96=0,"",'[1]368 Community Cash Income'!H96)</f>
        <v/>
      </c>
      <c r="I96" s="4"/>
    </row>
    <row r="97" spans="2:9">
      <c r="B97" s="4" t="str">
        <f>IF('[1]368 Community Cash Income'!B97=0,"",'[1]368 Community Cash Income'!B97)</f>
        <v/>
      </c>
      <c r="C97" s="4" t="str">
        <f>IF('[1]368 Community Cash Income'!C97=0,"",'[1]368 Community Cash Income'!C97)</f>
        <v/>
      </c>
      <c r="D97" s="4" t="str">
        <f>IF('[1]368 Community Cash Income'!$C97=0,"",'[1]368 Community Cash Income'!D97)</f>
        <v/>
      </c>
      <c r="E97" s="4" t="str">
        <f>IF('[1]368 Community Cash Income'!$C97=0,"",'[1]368 Community Cash Income'!E97)</f>
        <v/>
      </c>
      <c r="F97" s="4" t="str">
        <f>IF('[1]368 Community Cash Income'!$C97=0,"",'[1]368 Community Cash Income'!F97)</f>
        <v/>
      </c>
      <c r="G97" s="4" t="str">
        <f>IF('[1]368 Community Cash Income'!$C97=0,"",'[1]368 Community Cash Income'!G97)</f>
        <v/>
      </c>
      <c r="H97" s="4" t="str">
        <f>IF('[1]368 Community Cash Income'!$C97=0,"",'[1]368 Community Cash Income'!H97)</f>
        <v/>
      </c>
      <c r="I97" s="4"/>
    </row>
    <row r="98" spans="2:9">
      <c r="B98" s="4" t="str">
        <f>IF('[1]368 Community Cash Income'!B98=0,"",'[1]368 Community Cash Income'!B98)</f>
        <v/>
      </c>
      <c r="C98" s="4" t="str">
        <f>IF('[1]368 Community Cash Income'!C98=0,"",'[1]368 Community Cash Income'!C98)</f>
        <v/>
      </c>
      <c r="D98" s="4" t="str">
        <f>IF('[1]368 Community Cash Income'!$C98=0,"",'[1]368 Community Cash Income'!D98)</f>
        <v/>
      </c>
      <c r="E98" s="4" t="str">
        <f>IF('[1]368 Community Cash Income'!$C98=0,"",'[1]368 Community Cash Income'!E98)</f>
        <v/>
      </c>
      <c r="F98" s="4" t="str">
        <f>IF('[1]368 Community Cash Income'!$C98=0,"",'[1]368 Community Cash Income'!F98)</f>
        <v/>
      </c>
      <c r="G98" s="4" t="str">
        <f>IF('[1]368 Community Cash Income'!$C98=0,"",'[1]368 Community Cash Income'!G98)</f>
        <v/>
      </c>
      <c r="H98" s="4" t="str">
        <f>IF('[1]368 Community Cash Income'!$C98=0,"",'[1]368 Community Cash Income'!H98)</f>
        <v/>
      </c>
      <c r="I98" s="4"/>
    </row>
    <row r="99" spans="2:9">
      <c r="B99" s="4" t="str">
        <f>IF('[1]368 Community Cash Income'!B99=0,"",'[1]368 Community Cash Income'!B99)</f>
        <v/>
      </c>
      <c r="C99" s="4" t="str">
        <f>IF('[1]368 Community Cash Income'!C99=0,"",'[1]368 Community Cash Income'!C99)</f>
        <v/>
      </c>
      <c r="D99" s="4" t="str">
        <f>IF('[1]368 Community Cash Income'!$C99=0,"",'[1]368 Community Cash Income'!D99)</f>
        <v/>
      </c>
      <c r="E99" s="4" t="str">
        <f>IF('[1]368 Community Cash Income'!$C99=0,"",'[1]368 Community Cash Income'!E99)</f>
        <v/>
      </c>
      <c r="F99" s="4" t="str">
        <f>IF('[1]368 Community Cash Income'!$C99=0,"",'[1]368 Community Cash Income'!F99)</f>
        <v/>
      </c>
      <c r="G99" s="4" t="str">
        <f>IF('[1]368 Community Cash Income'!$C99=0,"",'[1]368 Community Cash Income'!G99)</f>
        <v/>
      </c>
      <c r="H99" s="4" t="str">
        <f>IF('[1]368 Community Cash Income'!$C99=0,"",'[1]368 Community Cash Income'!H99)</f>
        <v/>
      </c>
      <c r="I99" s="4"/>
    </row>
    <row r="100" spans="2:9">
      <c r="C100" s="4"/>
      <c r="D100" s="4"/>
      <c r="E100" s="4"/>
      <c r="F100" s="4"/>
      <c r="G100" s="4"/>
      <c r="H100" s="4"/>
      <c r="I100" s="4"/>
    </row>
    <row r="101" spans="2:9">
      <c r="C101" s="4"/>
      <c r="D101" s="4"/>
      <c r="E101" s="4"/>
      <c r="F101" s="4"/>
      <c r="G101" s="4"/>
      <c r="H101" s="4"/>
      <c r="I101" s="4"/>
    </row>
    <row r="102" spans="2:9">
      <c r="C102" s="4"/>
      <c r="D102" s="4"/>
      <c r="E102" s="4"/>
      <c r="F102" s="4"/>
      <c r="G102" s="4"/>
      <c r="H102" s="4"/>
      <c r="I102" s="4"/>
    </row>
    <row r="103" spans="2:9">
      <c r="C103" s="4"/>
      <c r="D103" s="4"/>
      <c r="E103" s="4"/>
      <c r="F103" s="4"/>
      <c r="G103" s="4"/>
      <c r="H103" s="4"/>
      <c r="I103" s="4"/>
    </row>
    <row r="104" spans="2:9">
      <c r="C104" s="4"/>
      <c r="D104" s="4"/>
      <c r="E104" s="4"/>
      <c r="F104" s="4"/>
      <c r="G104" s="4"/>
      <c r="H104" s="4"/>
      <c r="I104" s="4"/>
    </row>
    <row r="105" spans="2:9">
      <c r="C105" s="4"/>
      <c r="D105" s="4"/>
      <c r="E105" s="4"/>
      <c r="F105" s="4"/>
      <c r="G105" s="4"/>
      <c r="H105" s="4"/>
      <c r="I105" s="4"/>
    </row>
    <row r="106" spans="2:9">
      <c r="C106" s="4"/>
      <c r="D106" s="4"/>
      <c r="E106" s="4"/>
      <c r="F106" s="4"/>
      <c r="G106" s="4"/>
      <c r="H106" s="4"/>
      <c r="I106" s="4"/>
    </row>
    <row r="107" spans="2:9">
      <c r="C107" s="4"/>
      <c r="D107" s="4"/>
      <c r="E107" s="4"/>
      <c r="F107" s="4"/>
      <c r="G107" s="4"/>
      <c r="H107" s="4"/>
      <c r="I107" s="4"/>
    </row>
    <row r="108" spans="2:9">
      <c r="C108" s="4"/>
      <c r="D108" s="4"/>
      <c r="E108" s="4"/>
      <c r="F108" s="4"/>
      <c r="G108" s="4"/>
      <c r="H108" s="4"/>
      <c r="I108" s="4"/>
    </row>
    <row r="109" spans="2:9">
      <c r="C109" s="4"/>
      <c r="D109" s="4"/>
      <c r="E109" s="4"/>
      <c r="F109" s="4"/>
      <c r="G109" s="4"/>
      <c r="H109" s="4"/>
      <c r="I109" s="4"/>
    </row>
    <row r="110" spans="2:9">
      <c r="C110" s="4"/>
      <c r="D110" s="4"/>
      <c r="E110" s="4"/>
      <c r="F110" s="4"/>
      <c r="G110" s="4"/>
      <c r="H110" s="4"/>
      <c r="I110" s="4"/>
    </row>
    <row r="111" spans="2:9">
      <c r="C111" s="4"/>
      <c r="D111" s="4"/>
      <c r="E111" s="4"/>
      <c r="F111" s="4"/>
      <c r="G111" s="4"/>
      <c r="H111" s="4"/>
      <c r="I111" s="4"/>
    </row>
    <row r="112" spans="2:9">
      <c r="C112" s="4"/>
      <c r="D112" s="4"/>
      <c r="E112" s="4"/>
      <c r="F112" s="4"/>
      <c r="G112" s="4"/>
      <c r="H112" s="4"/>
      <c r="I112" s="4"/>
    </row>
    <row r="113" spans="3:9">
      <c r="C113" s="4"/>
      <c r="D113" s="4"/>
      <c r="E113" s="4"/>
      <c r="F113" s="4"/>
      <c r="G113" s="4"/>
      <c r="H113" s="4"/>
      <c r="I113" s="4"/>
    </row>
    <row r="114" spans="3:9">
      <c r="C114" s="4"/>
      <c r="D114" s="4"/>
      <c r="E114" s="4"/>
      <c r="F114" s="4"/>
      <c r="G114" s="4"/>
      <c r="H114" s="4"/>
      <c r="I114" s="4"/>
    </row>
    <row r="115" spans="3:9">
      <c r="C115" s="4"/>
      <c r="D115" s="4"/>
      <c r="E115" s="4"/>
      <c r="F115" s="4"/>
      <c r="G115" s="4"/>
      <c r="H115" s="4"/>
      <c r="I115" s="4"/>
    </row>
    <row r="116" spans="3:9">
      <c r="C116" s="4"/>
      <c r="D116" s="4"/>
      <c r="E116" s="4"/>
      <c r="F116" s="4"/>
      <c r="G116" s="4"/>
      <c r="H116" s="4"/>
      <c r="I116" s="4"/>
    </row>
    <row r="117" spans="3:9">
      <c r="C117" s="4"/>
      <c r="D117" s="4"/>
      <c r="E117" s="4"/>
      <c r="F117" s="4"/>
      <c r="G117" s="4"/>
      <c r="H117" s="4"/>
      <c r="I117" s="4"/>
    </row>
    <row r="118" spans="3:9">
      <c r="C118" s="4"/>
      <c r="D118" s="4"/>
      <c r="E118" s="4"/>
      <c r="F118" s="4"/>
      <c r="G118" s="4"/>
      <c r="H118" s="4"/>
      <c r="I118" s="4"/>
    </row>
    <row r="119" spans="3:9">
      <c r="C119" s="4"/>
      <c r="D119" s="4"/>
      <c r="E119" s="4"/>
      <c r="F119" s="4"/>
      <c r="G119" s="4"/>
      <c r="H119" s="4"/>
      <c r="I119" s="4"/>
    </row>
    <row r="120" spans="3:9">
      <c r="C120" s="4"/>
      <c r="D120" s="4"/>
      <c r="E120" s="4"/>
      <c r="F120" s="4"/>
      <c r="G120" s="4"/>
      <c r="H120" s="4"/>
      <c r="I120" s="4"/>
    </row>
    <row r="121" spans="3:9">
      <c r="C121" s="4"/>
      <c r="D121" s="4"/>
      <c r="E121" s="4"/>
      <c r="F121" s="4"/>
      <c r="G121" s="4"/>
      <c r="H121" s="4"/>
      <c r="I121" s="4"/>
    </row>
    <row r="122" spans="3:9">
      <c r="C122" s="4"/>
      <c r="D122" s="4"/>
      <c r="E122" s="4"/>
      <c r="F122" s="4"/>
      <c r="G122" s="4"/>
      <c r="H122" s="4"/>
      <c r="I122" s="4"/>
    </row>
    <row r="123" spans="3:9">
      <c r="C123" s="4"/>
      <c r="D123" s="4"/>
      <c r="E123" s="4"/>
      <c r="F123" s="4"/>
      <c r="G123" s="4"/>
      <c r="H123" s="4"/>
      <c r="I123" s="4"/>
    </row>
    <row r="124" spans="3:9">
      <c r="C124" s="4"/>
      <c r="D124" s="4"/>
      <c r="E124" s="4"/>
      <c r="F124" s="4"/>
      <c r="G124" s="4"/>
      <c r="H124" s="4"/>
      <c r="I124" s="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15D97-FC51-D746-89B2-1276E4B6FA25}">
  <sheetPr codeName="Sheet7"/>
  <dimension ref="A1"/>
  <sheetViews>
    <sheetView showGridLines="0" showRowColHeaders="0" zoomScaleNormal="100" workbookViewId="0">
      <selection activeCell="N29" sqref="N29"/>
    </sheetView>
  </sheetViews>
  <sheetFormatPr baseColWidth="10" defaultRowHeight="16"/>
  <sheetData/>
  <pageMargins left="0.7" right="0.7" top="0.75" bottom="0.75" header="0.3" footer="0.3"/>
  <pageSetup paperSize="9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6940A-BBBA-434F-852C-A6C5677D2462}">
  <sheetPr codeName="Sheet11"/>
  <dimension ref="A1:J124"/>
  <sheetViews>
    <sheetView workbookViewId="0">
      <selection activeCell="J18" sqref="A1:J18"/>
    </sheetView>
  </sheetViews>
  <sheetFormatPr baseColWidth="10" defaultRowHeight="16"/>
  <cols>
    <col min="1" max="6" width="22.5" style="5" customWidth="1"/>
    <col min="7" max="7" width="18.1640625" customWidth="1"/>
    <col min="8" max="8" width="21.6640625" customWidth="1"/>
    <col min="9" max="9" width="13.1640625" customWidth="1"/>
    <col min="10" max="10" width="19" customWidth="1"/>
  </cols>
  <sheetData>
    <row r="1" spans="1:10">
      <c r="A1" s="4" t="str">
        <f>IF('[1]369 Community Food Income by in'!A1=0,"",'[1]369 Community Food Income by in'!A1)</f>
        <v>LZ</v>
      </c>
      <c r="B1" s="4" t="str">
        <f>IF('[1]369 Community Food Income by in'!B1=0,"",'[1]369 Community Food Income by in'!B1)</f>
        <v>Community</v>
      </c>
      <c r="C1" s="4" t="str">
        <f>IF('[1]369 Community Food Income by in'!C1=0,"",'[1]369 Community Food Income by in'!C1)</f>
        <v>Wealthgroup</v>
      </c>
      <c r="D1" s="4" t="str">
        <f>IF('[1]369 Community Food Income by in'!$C1=0,"",'[1]369 Community Food Income by in'!D1)</f>
        <v>Crop Food Income</v>
      </c>
      <c r="E1" s="4" t="str">
        <f>IF('[1]369 Community Food Income by in'!$C1=0,"",'[1]369 Community Food Income by in'!E1)</f>
        <v>Employment Food Income</v>
      </c>
      <c r="F1" s="4" t="str">
        <f>IF('[1]369 Community Food Income by in'!$C1=0,"",'[1]369 Community Food Income by in'!F1)</f>
        <v>Livestock Food Income</v>
      </c>
      <c r="G1" s="4" t="str">
        <f>IF('[1]369 Community Food Income by in'!$C1=0,"",'[1]369 Community Food Income by in'!G1)</f>
        <v>Transfer Food Income</v>
      </c>
      <c r="H1" s="4" t="str">
        <f>IF('[1]369 Community Food Income by in'!$C1=0,"",'[1]369 Community Food Income by in'!H1)</f>
        <v>Wildfood Food Income</v>
      </c>
    </row>
    <row r="2" spans="1:10">
      <c r="A2" s="4"/>
      <c r="B2" s="4"/>
      <c r="C2" s="4"/>
      <c r="D2" s="4"/>
      <c r="E2" s="4"/>
      <c r="F2" s="4"/>
      <c r="G2" s="4"/>
      <c r="H2" s="4"/>
    </row>
    <row r="3" spans="1:10">
      <c r="A3" s="4"/>
      <c r="B3" s="4" t="str">
        <f>IF('[1]369 Community Food Income by in'!B3=0,"",'[1]369 Community Food Income by in'!B3)</f>
        <v>Averages</v>
      </c>
      <c r="C3" s="4" t="str">
        <f>IF('[1]369 Community Food Income by in'!C3=0,"",'[1]369 Community Food Income by in'!C3)</f>
        <v>Poor</v>
      </c>
      <c r="D3" s="4">
        <f>IF('[1]369 Community Food Income by in'!$C3=0,"",'[1]369 Community Food Income by in'!D3)</f>
        <v>3123901</v>
      </c>
      <c r="E3" s="4">
        <f>IF('[1]369 Community Food Income by in'!$C3=0,"",'[1]369 Community Food Income by in'!E3)</f>
        <v>0</v>
      </c>
      <c r="F3" s="4">
        <f>IF('[1]369 Community Food Income by in'!$C3=0,"",'[1]369 Community Food Income by in'!F3)</f>
        <v>0</v>
      </c>
      <c r="G3" s="4">
        <f>IF('[1]369 Community Food Income by in'!$C3=0,"",'[1]369 Community Food Income by in'!G3)</f>
        <v>0</v>
      </c>
      <c r="H3" s="4">
        <f>IF('[1]369 Community Food Income by in'!$C3=0,"",'[1]369 Community Food Income by in'!H3)</f>
        <v>428310</v>
      </c>
    </row>
    <row r="4" spans="1:10">
      <c r="A4" s="4"/>
      <c r="B4" s="4" t="str">
        <f>IF('[1]369 Community Food Income by in'!B4=0,"",'[1]369 Community Food Income by in'!B4)</f>
        <v/>
      </c>
      <c r="C4" s="4" t="str">
        <f>IF('[1]369 Community Food Income by in'!C4=0,"",'[1]369 Community Food Income by in'!C4)</f>
        <v>Middle</v>
      </c>
      <c r="D4" s="4">
        <f>IF('[1]369 Community Food Income by in'!$C4=0,"",'[1]369 Community Food Income by in'!D4)</f>
        <v>2310255</v>
      </c>
      <c r="E4" s="4">
        <f>IF('[1]369 Community Food Income by in'!$C4=0,"",'[1]369 Community Food Income by in'!E4)</f>
        <v>0</v>
      </c>
      <c r="F4" s="4">
        <f>IF('[1]369 Community Food Income by in'!$C4=0,"",'[1]369 Community Food Income by in'!F4)</f>
        <v>22400</v>
      </c>
      <c r="G4" s="4">
        <f>IF('[1]369 Community Food Income by in'!$C4=0,"",'[1]369 Community Food Income by in'!G4)</f>
        <v>0</v>
      </c>
      <c r="H4" s="4">
        <f>IF('[1]369 Community Food Income by in'!$C4=0,"",'[1]369 Community Food Income by in'!H4)</f>
        <v>978785</v>
      </c>
      <c r="J4" s="3" t="s">
        <v>39</v>
      </c>
    </row>
    <row r="5" spans="1:10">
      <c r="A5" s="4"/>
      <c r="B5" s="4" t="str">
        <f>IF('[1]369 Community Food Income by in'!B5=0,"",'[1]369 Community Food Income by in'!B5)</f>
        <v/>
      </c>
      <c r="C5" s="4" t="str">
        <f>IF('[1]369 Community Food Income by in'!C5=0,"",'[1]369 Community Food Income by in'!C5)</f>
        <v>Better Off</v>
      </c>
      <c r="D5" s="4">
        <f>IF('[1]369 Community Food Income by in'!$C5=0,"",'[1]369 Community Food Income by in'!D5)</f>
        <v>4802821.5</v>
      </c>
      <c r="E5" s="4">
        <f>IF('[1]369 Community Food Income by in'!$C5=0,"",'[1]369 Community Food Income by in'!E5)</f>
        <v>0</v>
      </c>
      <c r="F5" s="4">
        <f>IF('[1]369 Community Food Income by in'!$C5=0,"",'[1]369 Community Food Income by in'!F5)</f>
        <v>115200</v>
      </c>
      <c r="G5" s="4">
        <f>IF('[1]369 Community Food Income by in'!$C5=0,"",'[1]369 Community Food Income by in'!G5)</f>
        <v>0</v>
      </c>
      <c r="H5" s="4">
        <f>IF('[1]369 Community Food Income by in'!$C5=0,"",'[1]369 Community Food Income by in'!H5)</f>
        <v>42480</v>
      </c>
      <c r="J5" s="2">
        <f>DI_No_of_WGs</f>
        <v>12</v>
      </c>
    </row>
    <row r="6" spans="1:10">
      <c r="A6" s="4"/>
      <c r="B6" s="4" t="str">
        <f>IF('[1]369 Community Food Income by in'!B6=0,"",'[1]369 Community Food Income by in'!B6)</f>
        <v/>
      </c>
      <c r="C6" s="4" t="str">
        <f>IF('[1]369 Community Food Income by in'!C6=0,"",'[1]369 Community Food Income by in'!C6)</f>
        <v/>
      </c>
      <c r="D6" s="4" t="str">
        <f>IF('[1]369 Community Food Income by in'!$C6=0,"",'[1]369 Community Food Income by in'!D6)</f>
        <v/>
      </c>
      <c r="E6" s="4" t="str">
        <f>IF('[1]369 Community Food Income by in'!$C6=0,"",'[1]369 Community Food Income by in'!E6)</f>
        <v/>
      </c>
      <c r="F6" s="4" t="str">
        <f>IF('[1]369 Community Food Income by in'!$C6=0,"",'[1]369 Community Food Income by in'!F6)</f>
        <v/>
      </c>
      <c r="G6" s="4" t="str">
        <f>IF('[1]369 Community Food Income by in'!$C6=0,"",'[1]369 Community Food Income by in'!G6)</f>
        <v/>
      </c>
      <c r="H6" s="4" t="str">
        <f>IF('[1]369 Community Food Income by in'!$C6=0,"",'[1]369 Community Food Income by in'!H6)</f>
        <v/>
      </c>
      <c r="I6" s="2"/>
    </row>
    <row r="7" spans="1:10">
      <c r="A7" s="4" t="str">
        <f>'[1]369 Community Food Income by in'!A7</f>
        <v>Banana Coffee Piggery</v>
      </c>
      <c r="B7" s="4" t="str">
        <f>IF('[1]369 Community Food Income by in'!B7=0,"",'[1]369 Community Food Income by in'!B7)</f>
        <v>Mukono Butere</v>
      </c>
      <c r="C7" s="4" t="str">
        <f>IF('[1]369 Community Food Income by in'!C7=0,"",'[1]369 Community Food Income by in'!C7)</f>
        <v>Poor</v>
      </c>
      <c r="D7" s="4">
        <f>IF('[1]369 Community Food Income by in'!$C7=0,"",'[1]369 Community Food Income by in'!D7)</f>
        <v>7345608</v>
      </c>
      <c r="E7" s="4">
        <f>IF('[1]369 Community Food Income by in'!$C7=0,"",'[1]369 Community Food Income by in'!E7)</f>
        <v>0</v>
      </c>
      <c r="F7" s="4">
        <f>IF('[1]369 Community Food Income by in'!$C7=0,"",'[1]369 Community Food Income by in'!F7)</f>
        <v>0</v>
      </c>
      <c r="G7" s="4">
        <f>IF('[1]369 Community Food Income by in'!$C7=0,"",'[1]369 Community Food Income by in'!G7)</f>
        <v>0</v>
      </c>
      <c r="H7" s="4">
        <f>IF('[1]369 Community Food Income by in'!$C7=0,"",'[1]369 Community Food Income by in'!H7)</f>
        <v>0</v>
      </c>
    </row>
    <row r="8" spans="1:10">
      <c r="A8" s="4"/>
      <c r="B8" s="4" t="str">
        <f>IF('[1]369 Community Food Income by in'!B8=0,"",'[1]369 Community Food Income by in'!B8)</f>
        <v/>
      </c>
      <c r="C8" s="4" t="str">
        <f>IF('[1]369 Community Food Income by in'!C8=0,"",'[1]369 Community Food Income by in'!C8)</f>
        <v>Middle</v>
      </c>
      <c r="D8" s="4">
        <f>IF('[1]369 Community Food Income by in'!$C8=0,"",'[1]369 Community Food Income by in'!D8)</f>
        <v>0</v>
      </c>
      <c r="E8" s="4">
        <f>IF('[1]369 Community Food Income by in'!$C8=0,"",'[1]369 Community Food Income by in'!E8)</f>
        <v>0</v>
      </c>
      <c r="F8" s="4">
        <f>IF('[1]369 Community Food Income by in'!$C8=0,"",'[1]369 Community Food Income by in'!F8)</f>
        <v>0</v>
      </c>
      <c r="G8" s="4">
        <f>IF('[1]369 Community Food Income by in'!$C8=0,"",'[1]369 Community Food Income by in'!G8)</f>
        <v>0</v>
      </c>
      <c r="H8" s="4">
        <f>IF('[1]369 Community Food Income by in'!$C8=0,"",'[1]369 Community Food Income by in'!H8)</f>
        <v>490200</v>
      </c>
    </row>
    <row r="9" spans="1:10">
      <c r="A9" s="4"/>
      <c r="B9" s="4" t="str">
        <f>IF('[1]369 Community Food Income by in'!B9=0,"",'[1]369 Community Food Income by in'!B9)</f>
        <v/>
      </c>
      <c r="C9" s="4" t="str">
        <f>IF('[1]369 Community Food Income by in'!C9=0,"",'[1]369 Community Food Income by in'!C9)</f>
        <v>Better Off</v>
      </c>
      <c r="D9" s="4">
        <f>IF('[1]369 Community Food Income by in'!$C9=0,"",'[1]369 Community Food Income by in'!D9)</f>
        <v>8140076</v>
      </c>
      <c r="E9" s="4">
        <f>IF('[1]369 Community Food Income by in'!$C9=0,"",'[1]369 Community Food Income by in'!E9)</f>
        <v>0</v>
      </c>
      <c r="F9" s="4">
        <f>IF('[1]369 Community Food Income by in'!$C9=0,"",'[1]369 Community Food Income by in'!F9)</f>
        <v>0</v>
      </c>
      <c r="G9" s="4">
        <f>IF('[1]369 Community Food Income by in'!$C9=0,"",'[1]369 Community Food Income by in'!G9)</f>
        <v>0</v>
      </c>
      <c r="H9" s="4">
        <f>IF('[1]369 Community Food Income by in'!$C9=0,"",'[1]369 Community Food Income by in'!H9)</f>
        <v>144000</v>
      </c>
    </row>
    <row r="10" spans="1:10">
      <c r="A10" s="4"/>
      <c r="B10" s="4" t="str">
        <f>IF('[1]369 Community Food Income by in'!B10=0,"",'[1]369 Community Food Income by in'!B10)</f>
        <v>Mukono Lusera</v>
      </c>
      <c r="C10" s="4" t="str">
        <f>IF('[1]369 Community Food Income by in'!C10=0,"",'[1]369 Community Food Income by in'!C10)</f>
        <v>Poor</v>
      </c>
      <c r="D10" s="4">
        <f>IF('[1]369 Community Food Income by in'!$C10=0,"",'[1]369 Community Food Income by in'!D10)</f>
        <v>2686896</v>
      </c>
      <c r="E10" s="4">
        <f>IF('[1]369 Community Food Income by in'!$C10=0,"",'[1]369 Community Food Income by in'!E10)</f>
        <v>0</v>
      </c>
      <c r="F10" s="4">
        <f>IF('[1]369 Community Food Income by in'!$C10=0,"",'[1]369 Community Food Income by in'!F10)</f>
        <v>0</v>
      </c>
      <c r="G10" s="4">
        <f>IF('[1]369 Community Food Income by in'!$C10=0,"",'[1]369 Community Food Income by in'!G10)</f>
        <v>0</v>
      </c>
      <c r="H10" s="4">
        <f>IF('[1]369 Community Food Income by in'!$C10=0,"",'[1]369 Community Food Income by in'!H10)</f>
        <v>0</v>
      </c>
    </row>
    <row r="11" spans="1:10">
      <c r="A11" s="4" t="s">
        <v>45</v>
      </c>
      <c r="B11" s="4" t="str">
        <f>IF('[1]369 Community Food Income by in'!B11=0,"",'[1]369 Community Food Income by in'!B11)</f>
        <v/>
      </c>
      <c r="C11" s="4" t="str">
        <f>IF('[1]369 Community Food Income by in'!C11=0,"",'[1]369 Community Food Income by in'!C11)</f>
        <v>Middle</v>
      </c>
      <c r="D11" s="4">
        <f>IF('[1]369 Community Food Income by in'!$C11=0,"",'[1]369 Community Food Income by in'!D11)</f>
        <v>3675860</v>
      </c>
      <c r="E11" s="4">
        <f>IF('[1]369 Community Food Income by in'!$C11=0,"",'[1]369 Community Food Income by in'!E11)</f>
        <v>0</v>
      </c>
      <c r="F11" s="4">
        <f>IF('[1]369 Community Food Income by in'!$C11=0,"",'[1]369 Community Food Income by in'!F11)</f>
        <v>0</v>
      </c>
      <c r="G11" s="4">
        <f>IF('[1]369 Community Food Income by in'!$C11=0,"",'[1]369 Community Food Income by in'!G11)</f>
        <v>0</v>
      </c>
      <c r="H11" s="4">
        <f>IF('[1]369 Community Food Income by in'!$C11=0,"",'[1]369 Community Food Income by in'!H11)</f>
        <v>1616760</v>
      </c>
    </row>
    <row r="12" spans="1:10">
      <c r="A12" s="4" t="str">
        <f>_xlfn.CONCAT(A7," LZ, Food Income")</f>
        <v>Banana Coffee Piggery LZ, Food Income</v>
      </c>
      <c r="B12" s="4" t="str">
        <f>IF('[1]369 Community Food Income by in'!B12=0,"",'[1]369 Community Food Income by in'!B12)</f>
        <v/>
      </c>
      <c r="C12" s="4" t="str">
        <f>IF('[1]369 Community Food Income by in'!C12=0,"",'[1]369 Community Food Income by in'!C12)</f>
        <v>Better Off</v>
      </c>
      <c r="D12" s="4">
        <f>IF('[1]369 Community Food Income by in'!$C12=0,"",'[1]369 Community Food Income by in'!D12)</f>
        <v>2936550</v>
      </c>
      <c r="E12" s="4">
        <f>IF('[1]369 Community Food Income by in'!$C12=0,"",'[1]369 Community Food Income by in'!E12)</f>
        <v>0</v>
      </c>
      <c r="F12" s="4">
        <f>IF('[1]369 Community Food Income by in'!$C12=0,"",'[1]369 Community Food Income by in'!F12)</f>
        <v>0</v>
      </c>
      <c r="G12" s="4">
        <f>IF('[1]369 Community Food Income by in'!$C12=0,"",'[1]369 Community Food Income by in'!G12)</f>
        <v>0</v>
      </c>
      <c r="H12" s="4">
        <f>IF('[1]369 Community Food Income by in'!$C12=0,"",'[1]369 Community Food Income by in'!H12)</f>
        <v>25920</v>
      </c>
    </row>
    <row r="13" spans="1:10">
      <c r="A13" s="4"/>
      <c r="B13" s="4" t="str">
        <f>IF('[1]369 Community Food Income by in'!B13=0,"",'[1]369 Community Food Income by in'!B13)</f>
        <v>Mukono Nakisunga</v>
      </c>
      <c r="C13" s="4" t="str">
        <f>IF('[1]369 Community Food Income by in'!C13=0,"",'[1]369 Community Food Income by in'!C13)</f>
        <v>Poor</v>
      </c>
      <c r="D13" s="4">
        <f>IF('[1]369 Community Food Income by in'!$C13=0,"",'[1]369 Community Food Income by in'!D13)</f>
        <v>2463100</v>
      </c>
      <c r="E13" s="4">
        <f>IF('[1]369 Community Food Income by in'!$C13=0,"",'[1]369 Community Food Income by in'!E13)</f>
        <v>0</v>
      </c>
      <c r="F13" s="4">
        <f>IF('[1]369 Community Food Income by in'!$C13=0,"",'[1]369 Community Food Income by in'!F13)</f>
        <v>0</v>
      </c>
      <c r="G13" s="4">
        <f>IF('[1]369 Community Food Income by in'!$C13=0,"",'[1]369 Community Food Income by in'!G13)</f>
        <v>0</v>
      </c>
      <c r="H13" s="4">
        <f>IF('[1]369 Community Food Income by in'!$C13=0,"",'[1]369 Community Food Income by in'!H13)</f>
        <v>1616760</v>
      </c>
    </row>
    <row r="14" spans="1:10">
      <c r="A14" s="4" t="s">
        <v>46</v>
      </c>
      <c r="B14" s="4" t="str">
        <f>IF('[1]369 Community Food Income by in'!B14=0,"",'[1]369 Community Food Income by in'!B14)</f>
        <v/>
      </c>
      <c r="C14" s="4" t="str">
        <f>IF('[1]369 Community Food Income by in'!C14=0,"",'[1]369 Community Food Income by in'!C14)</f>
        <v>Middle</v>
      </c>
      <c r="D14" s="4">
        <f>IF('[1]369 Community Food Income by in'!$C14=0,"",'[1]369 Community Food Income by in'!D14)</f>
        <v>5565160</v>
      </c>
      <c r="E14" s="4">
        <f>IF('[1]369 Community Food Income by in'!$C14=0,"",'[1]369 Community Food Income by in'!E14)</f>
        <v>0</v>
      </c>
      <c r="F14" s="4">
        <f>IF('[1]369 Community Food Income by in'!$C14=0,"",'[1]369 Community Food Income by in'!F14)</f>
        <v>0</v>
      </c>
      <c r="G14" s="4">
        <f>IF('[1]369 Community Food Income by in'!$C14=0,"",'[1]369 Community Food Income by in'!G14)</f>
        <v>0</v>
      </c>
      <c r="H14" s="4">
        <f>IF('[1]369 Community Food Income by in'!$C14=0,"",'[1]369 Community Food Income by in'!H14)</f>
        <v>1374660</v>
      </c>
    </row>
    <row r="15" spans="1:10">
      <c r="A15" s="4" t="str">
        <f>_xlfn.CONCAT(A7," LZ, Average Food Income")</f>
        <v>Banana Coffee Piggery LZ, Average Food Income</v>
      </c>
      <c r="B15" s="4" t="str">
        <f>IF('[1]369 Community Food Income by in'!B15=0,"",'[1]369 Community Food Income by in'!B15)</f>
        <v/>
      </c>
      <c r="C15" s="4" t="str">
        <f>IF('[1]369 Community Food Income by in'!C15=0,"",'[1]369 Community Food Income by in'!C15)</f>
        <v>Better Off</v>
      </c>
      <c r="D15" s="4">
        <f>IF('[1]369 Community Food Income by in'!$C15=0,"",'[1]369 Community Food Income by in'!D15)</f>
        <v>4111380</v>
      </c>
      <c r="E15" s="4">
        <f>IF('[1]369 Community Food Income by in'!$C15=0,"",'[1]369 Community Food Income by in'!E15)</f>
        <v>0</v>
      </c>
      <c r="F15" s="4">
        <f>IF('[1]369 Community Food Income by in'!$C15=0,"",'[1]369 Community Food Income by in'!F15)</f>
        <v>0</v>
      </c>
      <c r="G15" s="4">
        <f>IF('[1]369 Community Food Income by in'!$C15=0,"",'[1]369 Community Food Income by in'!G15)</f>
        <v>0</v>
      </c>
      <c r="H15" s="4">
        <f>IF('[1]369 Community Food Income by in'!$C15=0,"",'[1]369 Community Food Income by in'!H15)</f>
        <v>0</v>
      </c>
    </row>
    <row r="16" spans="1:10">
      <c r="A16" s="4"/>
      <c r="B16" s="4" t="str">
        <f>IF('[1]369 Community Food Income by in'!B16=0,"",'[1]369 Community Food Income by in'!B16)</f>
        <v>Mukono Ntenjeru</v>
      </c>
      <c r="C16" s="4" t="str">
        <f>IF('[1]369 Community Food Income by in'!C16=0,"",'[1]369 Community Food Income by in'!C16)</f>
        <v>Poor</v>
      </c>
      <c r="D16" s="4">
        <f>IF('[1]369 Community Food Income by in'!$C16=0,"",'[1]369 Community Food Income by in'!D16)</f>
        <v>0</v>
      </c>
      <c r="E16" s="4">
        <f>IF('[1]369 Community Food Income by in'!$C16=0,"",'[1]369 Community Food Income by in'!E16)</f>
        <v>0</v>
      </c>
      <c r="F16" s="4">
        <f>IF('[1]369 Community Food Income by in'!$C16=0,"",'[1]369 Community Food Income by in'!F16)</f>
        <v>0</v>
      </c>
      <c r="G16" s="4">
        <f>IF('[1]369 Community Food Income by in'!$C16=0,"",'[1]369 Community Food Income by in'!G16)</f>
        <v>0</v>
      </c>
      <c r="H16" s="4">
        <f>IF('[1]369 Community Food Income by in'!$C16=0,"",'[1]369 Community Food Income by in'!H16)</f>
        <v>96480</v>
      </c>
    </row>
    <row r="17" spans="1:8">
      <c r="A17" s="4"/>
      <c r="B17" s="4" t="str">
        <f>IF('[1]369 Community Food Income by in'!B17=0,"",'[1]369 Community Food Income by in'!B17)</f>
        <v/>
      </c>
      <c r="C17" s="4" t="str">
        <f>IF('[1]369 Community Food Income by in'!C17=0,"",'[1]369 Community Food Income by in'!C17)</f>
        <v>Middle</v>
      </c>
      <c r="D17" s="4">
        <f>IF('[1]369 Community Food Income by in'!$C17=0,"",'[1]369 Community Food Income by in'!D17)</f>
        <v>0</v>
      </c>
      <c r="E17" s="4">
        <f>IF('[1]369 Community Food Income by in'!$C17=0,"",'[1]369 Community Food Income by in'!E17)</f>
        <v>0</v>
      </c>
      <c r="F17" s="4">
        <f>IF('[1]369 Community Food Income by in'!$C17=0,"",'[1]369 Community Food Income by in'!F17)</f>
        <v>89600</v>
      </c>
      <c r="G17" s="4">
        <f>IF('[1]369 Community Food Income by in'!$C17=0,"",'[1]369 Community Food Income by in'!G17)</f>
        <v>0</v>
      </c>
      <c r="H17" s="4">
        <f>IF('[1]369 Community Food Income by in'!$C17=0,"",'[1]369 Community Food Income by in'!H17)</f>
        <v>433520</v>
      </c>
    </row>
    <row r="18" spans="1:8">
      <c r="A18" s="4"/>
      <c r="B18" s="4" t="str">
        <f>IF('[1]369 Community Food Income by in'!B18=0,"",'[1]369 Community Food Income by in'!B18)</f>
        <v/>
      </c>
      <c r="C18" s="4" t="str">
        <f>IF('[1]369 Community Food Income by in'!C18=0,"",'[1]369 Community Food Income by in'!C18)</f>
        <v>Better Off</v>
      </c>
      <c r="D18" s="4">
        <f>IF('[1]369 Community Food Income by in'!$C18=0,"",'[1]369 Community Food Income by in'!D18)</f>
        <v>4023280</v>
      </c>
      <c r="E18" s="4">
        <f>IF('[1]369 Community Food Income by in'!$C18=0,"",'[1]369 Community Food Income by in'!E18)</f>
        <v>0</v>
      </c>
      <c r="F18" s="4">
        <f>IF('[1]369 Community Food Income by in'!$C18=0,"",'[1]369 Community Food Income by in'!F18)</f>
        <v>460800</v>
      </c>
      <c r="G18" s="4">
        <f>IF('[1]369 Community Food Income by in'!$C18=0,"",'[1]369 Community Food Income by in'!G18)</f>
        <v>0</v>
      </c>
      <c r="H18" s="4">
        <f>IF('[1]369 Community Food Income by in'!$C18=0,"",'[1]369 Community Food Income by in'!H18)</f>
        <v>0</v>
      </c>
    </row>
    <row r="19" spans="1:8">
      <c r="A19" s="4"/>
      <c r="B19" s="4" t="str">
        <f>IF('[1]369 Community Food Income by in'!B19=0,"",'[1]369 Community Food Income by in'!B19)</f>
        <v/>
      </c>
      <c r="C19" s="4" t="str">
        <f>IF('[1]369 Community Food Income by in'!C19=0,"",'[1]369 Community Food Income by in'!C19)</f>
        <v/>
      </c>
      <c r="D19" s="4" t="str">
        <f>IF('[1]369 Community Food Income by in'!$C19=0,"",'[1]369 Community Food Income by in'!D19)</f>
        <v/>
      </c>
      <c r="E19" s="4" t="str">
        <f>IF('[1]369 Community Food Income by in'!$C19=0,"",'[1]369 Community Food Income by in'!E19)</f>
        <v/>
      </c>
      <c r="F19" s="4" t="str">
        <f>IF('[1]369 Community Food Income by in'!$C19=0,"",'[1]369 Community Food Income by in'!F19)</f>
        <v/>
      </c>
      <c r="G19" s="4" t="str">
        <f>IF('[1]369 Community Food Income by in'!$C19=0,"",'[1]369 Community Food Income by in'!G19)</f>
        <v/>
      </c>
      <c r="H19" s="4" t="str">
        <f>IF('[1]369 Community Food Income by in'!$C19=0,"",'[1]369 Community Food Income by in'!H19)</f>
        <v/>
      </c>
    </row>
    <row r="20" spans="1:8">
      <c r="A20" s="4"/>
      <c r="B20" s="4" t="str">
        <f>IF('[1]369 Community Food Income by in'!B20=0,"",'[1]369 Community Food Income by in'!B20)</f>
        <v/>
      </c>
      <c r="C20" s="4" t="str">
        <f>IF('[1]369 Community Food Income by in'!C20=0,"",'[1]369 Community Food Income by in'!C20)</f>
        <v/>
      </c>
      <c r="D20" s="4" t="str">
        <f>IF('[1]369 Community Food Income by in'!$C20=0,"",'[1]369 Community Food Income by in'!D20)</f>
        <v/>
      </c>
      <c r="E20" s="4" t="str">
        <f>IF('[1]369 Community Food Income by in'!$C20=0,"",'[1]369 Community Food Income by in'!E20)</f>
        <v/>
      </c>
      <c r="F20" s="4" t="str">
        <f>IF('[1]369 Community Food Income by in'!$C20=0,"",'[1]369 Community Food Income by in'!F20)</f>
        <v/>
      </c>
      <c r="G20" s="4" t="str">
        <f>IF('[1]369 Community Food Income by in'!$C20=0,"",'[1]369 Community Food Income by in'!G20)</f>
        <v/>
      </c>
      <c r="H20" s="4" t="str">
        <f>IF('[1]369 Community Food Income by in'!$C20=0,"",'[1]369 Community Food Income by in'!H20)</f>
        <v/>
      </c>
    </row>
    <row r="21" spans="1:8">
      <c r="A21" s="4"/>
      <c r="B21" s="4" t="str">
        <f>IF('[1]369 Community Food Income by in'!B21=0,"",'[1]369 Community Food Income by in'!B21)</f>
        <v/>
      </c>
      <c r="C21" s="4" t="str">
        <f>IF('[1]369 Community Food Income by in'!C21=0,"",'[1]369 Community Food Income by in'!C21)</f>
        <v/>
      </c>
      <c r="D21" s="4" t="str">
        <f>IF('[1]369 Community Food Income by in'!$C21=0,"",'[1]369 Community Food Income by in'!D21)</f>
        <v/>
      </c>
      <c r="E21" s="4" t="str">
        <f>IF('[1]369 Community Food Income by in'!$C21=0,"",'[1]369 Community Food Income by in'!E21)</f>
        <v/>
      </c>
      <c r="F21" s="4" t="str">
        <f>IF('[1]369 Community Food Income by in'!$C21=0,"",'[1]369 Community Food Income by in'!F21)</f>
        <v/>
      </c>
      <c r="G21" s="4" t="str">
        <f>IF('[1]369 Community Food Income by in'!$C21=0,"",'[1]369 Community Food Income by in'!G21)</f>
        <v/>
      </c>
      <c r="H21" s="4" t="str">
        <f>IF('[1]369 Community Food Income by in'!$C21=0,"",'[1]369 Community Food Income by in'!H21)</f>
        <v/>
      </c>
    </row>
    <row r="22" spans="1:8">
      <c r="A22" s="4"/>
      <c r="B22" s="4" t="str">
        <f>IF('[1]369 Community Food Income by in'!B22=0,"",'[1]369 Community Food Income by in'!B22)</f>
        <v/>
      </c>
      <c r="C22" s="4" t="str">
        <f>IF('[1]369 Community Food Income by in'!C22=0,"",'[1]369 Community Food Income by in'!C22)</f>
        <v/>
      </c>
      <c r="D22" s="4" t="str">
        <f>IF('[1]369 Community Food Income by in'!$C22=0,"",'[1]369 Community Food Income by in'!D22)</f>
        <v/>
      </c>
      <c r="E22" s="4" t="str">
        <f>IF('[1]369 Community Food Income by in'!$C22=0,"",'[1]369 Community Food Income by in'!E22)</f>
        <v/>
      </c>
      <c r="F22" s="4" t="str">
        <f>IF('[1]369 Community Food Income by in'!$C22=0,"",'[1]369 Community Food Income by in'!F22)</f>
        <v/>
      </c>
      <c r="G22" s="4" t="str">
        <f>IF('[1]369 Community Food Income by in'!$C22=0,"",'[1]369 Community Food Income by in'!G22)</f>
        <v/>
      </c>
      <c r="H22" s="4" t="str">
        <f>IF('[1]369 Community Food Income by in'!$C22=0,"",'[1]369 Community Food Income by in'!H22)</f>
        <v/>
      </c>
    </row>
    <row r="23" spans="1:8">
      <c r="A23" s="4"/>
      <c r="B23" s="4" t="str">
        <f>IF('[1]369 Community Food Income by in'!B23=0,"",'[1]369 Community Food Income by in'!B23)</f>
        <v/>
      </c>
      <c r="C23" s="4" t="str">
        <f>IF('[1]369 Community Food Income by in'!C23=0,"",'[1]369 Community Food Income by in'!C23)</f>
        <v/>
      </c>
      <c r="D23" s="4" t="str">
        <f>IF('[1]369 Community Food Income by in'!$C23=0,"",'[1]369 Community Food Income by in'!D23)</f>
        <v/>
      </c>
      <c r="E23" s="4" t="str">
        <f>IF('[1]369 Community Food Income by in'!$C23=0,"",'[1]369 Community Food Income by in'!E23)</f>
        <v/>
      </c>
      <c r="F23" s="4" t="str">
        <f>IF('[1]369 Community Food Income by in'!$C23=0,"",'[1]369 Community Food Income by in'!F23)</f>
        <v/>
      </c>
      <c r="G23" s="4" t="str">
        <f>IF('[1]369 Community Food Income by in'!$C23=0,"",'[1]369 Community Food Income by in'!G23)</f>
        <v/>
      </c>
      <c r="H23" s="4" t="str">
        <f>IF('[1]369 Community Food Income by in'!$C23=0,"",'[1]369 Community Food Income by in'!H23)</f>
        <v/>
      </c>
    </row>
    <row r="24" spans="1:8">
      <c r="A24" s="4"/>
      <c r="B24" s="4" t="str">
        <f>IF('[1]369 Community Food Income by in'!B24=0,"",'[1]369 Community Food Income by in'!B24)</f>
        <v/>
      </c>
      <c r="C24" s="4" t="str">
        <f>IF('[1]369 Community Food Income by in'!C24=0,"",'[1]369 Community Food Income by in'!C24)</f>
        <v/>
      </c>
      <c r="D24" s="4" t="str">
        <f>IF('[1]369 Community Food Income by in'!$C24=0,"",'[1]369 Community Food Income by in'!D24)</f>
        <v/>
      </c>
      <c r="E24" s="4" t="str">
        <f>IF('[1]369 Community Food Income by in'!$C24=0,"",'[1]369 Community Food Income by in'!E24)</f>
        <v/>
      </c>
      <c r="F24" s="4" t="str">
        <f>IF('[1]369 Community Food Income by in'!$C24=0,"",'[1]369 Community Food Income by in'!F24)</f>
        <v/>
      </c>
      <c r="G24" s="4" t="str">
        <f>IF('[1]369 Community Food Income by in'!$C24=0,"",'[1]369 Community Food Income by in'!G24)</f>
        <v/>
      </c>
      <c r="H24" s="4" t="str">
        <f>IF('[1]369 Community Food Income by in'!$C24=0,"",'[1]369 Community Food Income by in'!H24)</f>
        <v/>
      </c>
    </row>
    <row r="25" spans="1:8">
      <c r="A25" s="4"/>
      <c r="B25" s="4" t="str">
        <f>IF('[1]369 Community Food Income by in'!B25=0,"",'[1]369 Community Food Income by in'!B25)</f>
        <v/>
      </c>
      <c r="C25" s="4" t="str">
        <f>IF('[1]369 Community Food Income by in'!C25=0,"",'[1]369 Community Food Income by in'!C25)</f>
        <v/>
      </c>
      <c r="D25" s="4" t="str">
        <f>IF('[1]369 Community Food Income by in'!$C25=0,"",'[1]369 Community Food Income by in'!D25)</f>
        <v/>
      </c>
      <c r="E25" s="4" t="str">
        <f>IF('[1]369 Community Food Income by in'!$C25=0,"",'[1]369 Community Food Income by in'!E25)</f>
        <v/>
      </c>
      <c r="F25" s="4" t="str">
        <f>IF('[1]369 Community Food Income by in'!$C25=0,"",'[1]369 Community Food Income by in'!F25)</f>
        <v/>
      </c>
      <c r="G25" s="4" t="str">
        <f>IF('[1]369 Community Food Income by in'!$C25=0,"",'[1]369 Community Food Income by in'!G25)</f>
        <v/>
      </c>
      <c r="H25" s="4" t="str">
        <f>IF('[1]369 Community Food Income by in'!$C25=0,"",'[1]369 Community Food Income by in'!H25)</f>
        <v/>
      </c>
    </row>
    <row r="26" spans="1:8">
      <c r="A26" s="4"/>
      <c r="B26" s="4" t="str">
        <f>IF('[1]369 Community Food Income by in'!B26=0,"",'[1]369 Community Food Income by in'!B26)</f>
        <v/>
      </c>
      <c r="C26" s="4" t="str">
        <f>IF('[1]369 Community Food Income by in'!C26=0,"",'[1]369 Community Food Income by in'!C26)</f>
        <v/>
      </c>
      <c r="D26" s="4" t="str">
        <f>IF('[1]369 Community Food Income by in'!$C26=0,"",'[1]369 Community Food Income by in'!D26)</f>
        <v/>
      </c>
      <c r="E26" s="4" t="str">
        <f>IF('[1]369 Community Food Income by in'!$C26=0,"",'[1]369 Community Food Income by in'!E26)</f>
        <v/>
      </c>
      <c r="F26" s="4" t="str">
        <f>IF('[1]369 Community Food Income by in'!$C26=0,"",'[1]369 Community Food Income by in'!F26)</f>
        <v/>
      </c>
      <c r="G26" s="4" t="str">
        <f>IF('[1]369 Community Food Income by in'!$C26=0,"",'[1]369 Community Food Income by in'!G26)</f>
        <v/>
      </c>
      <c r="H26" s="4" t="str">
        <f>IF('[1]369 Community Food Income by in'!$C26=0,"",'[1]369 Community Food Income by in'!H26)</f>
        <v/>
      </c>
    </row>
    <row r="27" spans="1:8">
      <c r="A27" s="4"/>
      <c r="B27" s="4" t="str">
        <f>IF('[1]369 Community Food Income by in'!B27=0,"",'[1]369 Community Food Income by in'!B27)</f>
        <v/>
      </c>
      <c r="C27" s="4" t="str">
        <f>IF('[1]369 Community Food Income by in'!C27=0,"",'[1]369 Community Food Income by in'!C27)</f>
        <v/>
      </c>
      <c r="D27" s="4" t="str">
        <f>IF('[1]369 Community Food Income by in'!$C27=0,"",'[1]369 Community Food Income by in'!D27)</f>
        <v/>
      </c>
      <c r="E27" s="4" t="str">
        <f>IF('[1]369 Community Food Income by in'!$C27=0,"",'[1]369 Community Food Income by in'!E27)</f>
        <v/>
      </c>
      <c r="F27" s="4" t="str">
        <f>IF('[1]369 Community Food Income by in'!$C27=0,"",'[1]369 Community Food Income by in'!F27)</f>
        <v/>
      </c>
      <c r="G27" s="4" t="str">
        <f>IF('[1]369 Community Food Income by in'!$C27=0,"",'[1]369 Community Food Income by in'!G27)</f>
        <v/>
      </c>
      <c r="H27" s="4" t="str">
        <f>IF('[1]369 Community Food Income by in'!$C27=0,"",'[1]369 Community Food Income by in'!H27)</f>
        <v/>
      </c>
    </row>
    <row r="28" spans="1:8">
      <c r="A28" s="4"/>
      <c r="B28" s="4" t="str">
        <f>IF('[1]369 Community Food Income by in'!B28=0,"",'[1]369 Community Food Income by in'!B28)</f>
        <v/>
      </c>
      <c r="C28" s="4" t="str">
        <f>IF('[1]369 Community Food Income by in'!C28=0,"",'[1]369 Community Food Income by in'!C28)</f>
        <v/>
      </c>
      <c r="D28" s="4" t="str">
        <f>IF('[1]369 Community Food Income by in'!$C28=0,"",'[1]369 Community Food Income by in'!D28)</f>
        <v/>
      </c>
      <c r="E28" s="4" t="str">
        <f>IF('[1]369 Community Food Income by in'!$C28=0,"",'[1]369 Community Food Income by in'!E28)</f>
        <v/>
      </c>
      <c r="F28" s="4" t="str">
        <f>IF('[1]369 Community Food Income by in'!$C28=0,"",'[1]369 Community Food Income by in'!F28)</f>
        <v/>
      </c>
      <c r="G28" s="4" t="str">
        <f>IF('[1]369 Community Food Income by in'!$C28=0,"",'[1]369 Community Food Income by in'!G28)</f>
        <v/>
      </c>
      <c r="H28" s="4" t="str">
        <f>IF('[1]369 Community Food Income by in'!$C28=0,"",'[1]369 Community Food Income by in'!H28)</f>
        <v/>
      </c>
    </row>
    <row r="29" spans="1:8">
      <c r="A29" s="4"/>
      <c r="B29" s="4" t="str">
        <f>IF('[1]369 Community Food Income by in'!B29=0,"",'[1]369 Community Food Income by in'!B29)</f>
        <v/>
      </c>
      <c r="C29" s="4" t="str">
        <f>IF('[1]369 Community Food Income by in'!C29=0,"",'[1]369 Community Food Income by in'!C29)</f>
        <v/>
      </c>
      <c r="D29" s="4" t="str">
        <f>IF('[1]369 Community Food Income by in'!$C29=0,"",'[1]369 Community Food Income by in'!D29)</f>
        <v/>
      </c>
      <c r="E29" s="4" t="str">
        <f>IF('[1]369 Community Food Income by in'!$C29=0,"",'[1]369 Community Food Income by in'!E29)</f>
        <v/>
      </c>
      <c r="F29" s="4" t="str">
        <f>IF('[1]369 Community Food Income by in'!$C29=0,"",'[1]369 Community Food Income by in'!F29)</f>
        <v/>
      </c>
      <c r="G29" s="4" t="str">
        <f>IF('[1]369 Community Food Income by in'!$C29=0,"",'[1]369 Community Food Income by in'!G29)</f>
        <v/>
      </c>
      <c r="H29" s="4" t="str">
        <f>IF('[1]369 Community Food Income by in'!$C29=0,"",'[1]369 Community Food Income by in'!H29)</f>
        <v/>
      </c>
    </row>
    <row r="30" spans="1:8">
      <c r="A30" s="4"/>
      <c r="B30" s="4" t="str">
        <f>IF('[1]369 Community Food Income by in'!B30=0,"",'[1]369 Community Food Income by in'!B30)</f>
        <v/>
      </c>
      <c r="C30" s="4" t="str">
        <f>IF('[1]369 Community Food Income by in'!C30=0,"",'[1]369 Community Food Income by in'!C30)</f>
        <v/>
      </c>
      <c r="D30" s="4" t="str">
        <f>IF('[1]369 Community Food Income by in'!$C30=0,"",'[1]369 Community Food Income by in'!D30)</f>
        <v/>
      </c>
      <c r="E30" s="4" t="str">
        <f>IF('[1]369 Community Food Income by in'!$C30=0,"",'[1]369 Community Food Income by in'!E30)</f>
        <v/>
      </c>
      <c r="F30" s="4" t="str">
        <f>IF('[1]369 Community Food Income by in'!$C30=0,"",'[1]369 Community Food Income by in'!F30)</f>
        <v/>
      </c>
      <c r="G30" s="4" t="str">
        <f>IF('[1]369 Community Food Income by in'!$C30=0,"",'[1]369 Community Food Income by in'!G30)</f>
        <v/>
      </c>
      <c r="H30" s="4" t="str">
        <f>IF('[1]369 Community Food Income by in'!$C30=0,"",'[1]369 Community Food Income by in'!H30)</f>
        <v/>
      </c>
    </row>
    <row r="31" spans="1:8">
      <c r="A31" s="4"/>
      <c r="B31" s="4" t="str">
        <f>IF('[1]369 Community Food Income by in'!B31=0,"",'[1]369 Community Food Income by in'!B31)</f>
        <v/>
      </c>
      <c r="C31" s="4" t="str">
        <f>IF('[1]369 Community Food Income by in'!C31=0,"",'[1]369 Community Food Income by in'!C31)</f>
        <v/>
      </c>
      <c r="D31" s="4" t="str">
        <f>IF('[1]369 Community Food Income by in'!$C31=0,"",'[1]369 Community Food Income by in'!D31)</f>
        <v/>
      </c>
      <c r="E31" s="4" t="str">
        <f>IF('[1]369 Community Food Income by in'!$C31=0,"",'[1]369 Community Food Income by in'!E31)</f>
        <v/>
      </c>
      <c r="F31" s="4" t="str">
        <f>IF('[1]369 Community Food Income by in'!$C31=0,"",'[1]369 Community Food Income by in'!F31)</f>
        <v/>
      </c>
      <c r="G31" s="4" t="str">
        <f>IF('[1]369 Community Food Income by in'!$C31=0,"",'[1]369 Community Food Income by in'!G31)</f>
        <v/>
      </c>
      <c r="H31" s="4" t="str">
        <f>IF('[1]369 Community Food Income by in'!$C31=0,"",'[1]369 Community Food Income by in'!H31)</f>
        <v/>
      </c>
    </row>
    <row r="32" spans="1:8">
      <c r="A32" s="4"/>
      <c r="B32" s="4" t="str">
        <f>IF('[1]369 Community Food Income by in'!B32=0,"",'[1]369 Community Food Income by in'!B32)</f>
        <v/>
      </c>
      <c r="C32" s="4" t="str">
        <f>IF('[1]369 Community Food Income by in'!C32=0,"",'[1]369 Community Food Income by in'!C32)</f>
        <v/>
      </c>
      <c r="D32" s="4" t="str">
        <f>IF('[1]369 Community Food Income by in'!$C32=0,"",'[1]369 Community Food Income by in'!D32)</f>
        <v/>
      </c>
      <c r="E32" s="4" t="str">
        <f>IF('[1]369 Community Food Income by in'!$C32=0,"",'[1]369 Community Food Income by in'!E32)</f>
        <v/>
      </c>
      <c r="F32" s="4" t="str">
        <f>IF('[1]369 Community Food Income by in'!$C32=0,"",'[1]369 Community Food Income by in'!F32)</f>
        <v/>
      </c>
      <c r="G32" s="4" t="str">
        <f>IF('[1]369 Community Food Income by in'!$C32=0,"",'[1]369 Community Food Income by in'!G32)</f>
        <v/>
      </c>
      <c r="H32" s="4" t="str">
        <f>IF('[1]369 Community Food Income by in'!$C32=0,"",'[1]369 Community Food Income by in'!H32)</f>
        <v/>
      </c>
    </row>
    <row r="33" spans="1:8">
      <c r="A33" s="4"/>
      <c r="B33" s="4" t="str">
        <f>IF('[1]369 Community Food Income by in'!B33=0,"",'[1]369 Community Food Income by in'!B33)</f>
        <v/>
      </c>
      <c r="C33" s="4" t="str">
        <f>IF('[1]369 Community Food Income by in'!C33=0,"",'[1]369 Community Food Income by in'!C33)</f>
        <v/>
      </c>
      <c r="D33" s="4" t="str">
        <f>IF('[1]369 Community Food Income by in'!$C33=0,"",'[1]369 Community Food Income by in'!D33)</f>
        <v/>
      </c>
      <c r="E33" s="4" t="str">
        <f>IF('[1]369 Community Food Income by in'!$C33=0,"",'[1]369 Community Food Income by in'!E33)</f>
        <v/>
      </c>
      <c r="F33" s="4" t="str">
        <f>IF('[1]369 Community Food Income by in'!$C33=0,"",'[1]369 Community Food Income by in'!F33)</f>
        <v/>
      </c>
      <c r="G33" s="4" t="str">
        <f>IF('[1]369 Community Food Income by in'!$C33=0,"",'[1]369 Community Food Income by in'!G33)</f>
        <v/>
      </c>
      <c r="H33" s="4" t="str">
        <f>IF('[1]369 Community Food Income by in'!$C33=0,"",'[1]369 Community Food Income by in'!H33)</f>
        <v/>
      </c>
    </row>
    <row r="34" spans="1:8">
      <c r="A34" s="4"/>
      <c r="B34" s="4" t="str">
        <f>IF('[1]369 Community Food Income by in'!B34=0,"",'[1]369 Community Food Income by in'!B34)</f>
        <v/>
      </c>
      <c r="C34" s="4" t="str">
        <f>IF('[1]369 Community Food Income by in'!C34=0,"",'[1]369 Community Food Income by in'!C34)</f>
        <v/>
      </c>
      <c r="D34" s="4" t="str">
        <f>IF('[1]369 Community Food Income by in'!$C34=0,"",'[1]369 Community Food Income by in'!D34)</f>
        <v/>
      </c>
      <c r="E34" s="4" t="str">
        <f>IF('[1]369 Community Food Income by in'!$C34=0,"",'[1]369 Community Food Income by in'!E34)</f>
        <v/>
      </c>
      <c r="F34" s="4" t="str">
        <f>IF('[1]369 Community Food Income by in'!$C34=0,"",'[1]369 Community Food Income by in'!F34)</f>
        <v/>
      </c>
      <c r="G34" s="4" t="str">
        <f>IF('[1]369 Community Food Income by in'!$C34=0,"",'[1]369 Community Food Income by in'!G34)</f>
        <v/>
      </c>
      <c r="H34" s="4" t="str">
        <f>IF('[1]369 Community Food Income by in'!$C34=0,"",'[1]369 Community Food Income by in'!H34)</f>
        <v/>
      </c>
    </row>
    <row r="35" spans="1:8">
      <c r="A35" s="4"/>
      <c r="B35" s="4" t="str">
        <f>IF('[1]369 Community Food Income by in'!B35=0,"",'[1]369 Community Food Income by in'!B35)</f>
        <v/>
      </c>
      <c r="C35" s="4" t="str">
        <f>IF('[1]369 Community Food Income by in'!C35=0,"",'[1]369 Community Food Income by in'!C35)</f>
        <v/>
      </c>
      <c r="D35" s="4" t="str">
        <f>IF('[1]369 Community Food Income by in'!$C35=0,"",'[1]369 Community Food Income by in'!D35)</f>
        <v/>
      </c>
      <c r="E35" s="4" t="str">
        <f>IF('[1]369 Community Food Income by in'!$C35=0,"",'[1]369 Community Food Income by in'!E35)</f>
        <v/>
      </c>
      <c r="F35" s="4" t="str">
        <f>IF('[1]369 Community Food Income by in'!$C35=0,"",'[1]369 Community Food Income by in'!F35)</f>
        <v/>
      </c>
      <c r="G35" s="4" t="str">
        <f>IF('[1]369 Community Food Income by in'!$C35=0,"",'[1]369 Community Food Income by in'!G35)</f>
        <v/>
      </c>
      <c r="H35" s="4" t="str">
        <f>IF('[1]369 Community Food Income by in'!$C35=0,"",'[1]369 Community Food Income by in'!H35)</f>
        <v/>
      </c>
    </row>
    <row r="36" spans="1:8">
      <c r="A36" s="4"/>
      <c r="B36" s="4" t="str">
        <f>IF('[1]369 Community Food Income by in'!B36=0,"",'[1]369 Community Food Income by in'!B36)</f>
        <v/>
      </c>
      <c r="C36" s="4" t="str">
        <f>IF('[1]369 Community Food Income by in'!C36=0,"",'[1]369 Community Food Income by in'!C36)</f>
        <v/>
      </c>
      <c r="D36" s="4" t="str">
        <f>IF('[1]369 Community Food Income by in'!$C36=0,"",'[1]369 Community Food Income by in'!D36)</f>
        <v/>
      </c>
      <c r="E36" s="4" t="str">
        <f>IF('[1]369 Community Food Income by in'!$C36=0,"",'[1]369 Community Food Income by in'!E36)</f>
        <v/>
      </c>
      <c r="F36" s="4" t="str">
        <f>IF('[1]369 Community Food Income by in'!$C36=0,"",'[1]369 Community Food Income by in'!F36)</f>
        <v/>
      </c>
      <c r="G36" s="4" t="str">
        <f>IF('[1]369 Community Food Income by in'!$C36=0,"",'[1]369 Community Food Income by in'!G36)</f>
        <v/>
      </c>
      <c r="H36" s="4" t="str">
        <f>IF('[1]369 Community Food Income by in'!$C36=0,"",'[1]369 Community Food Income by in'!H36)</f>
        <v/>
      </c>
    </row>
    <row r="37" spans="1:8">
      <c r="A37" s="4"/>
      <c r="B37" s="4" t="str">
        <f>IF('[1]369 Community Food Income by in'!B37=0,"",'[1]369 Community Food Income by in'!B37)</f>
        <v/>
      </c>
      <c r="C37" s="4" t="str">
        <f>IF('[1]369 Community Food Income by in'!C37=0,"",'[1]369 Community Food Income by in'!C37)</f>
        <v/>
      </c>
      <c r="D37" s="4" t="str">
        <f>IF('[1]369 Community Food Income by in'!$C37=0,"",'[1]369 Community Food Income by in'!D37)</f>
        <v/>
      </c>
      <c r="E37" s="4" t="str">
        <f>IF('[1]369 Community Food Income by in'!$C37=0,"",'[1]369 Community Food Income by in'!E37)</f>
        <v/>
      </c>
      <c r="F37" s="4" t="str">
        <f>IF('[1]369 Community Food Income by in'!$C37=0,"",'[1]369 Community Food Income by in'!F37)</f>
        <v/>
      </c>
      <c r="G37" s="4" t="str">
        <f>IF('[1]369 Community Food Income by in'!$C37=0,"",'[1]369 Community Food Income by in'!G37)</f>
        <v/>
      </c>
      <c r="H37" s="4" t="str">
        <f>IF('[1]369 Community Food Income by in'!$C37=0,"",'[1]369 Community Food Income by in'!H37)</f>
        <v/>
      </c>
    </row>
    <row r="38" spans="1:8">
      <c r="A38" s="4"/>
      <c r="B38" s="4" t="str">
        <f>IF('[1]369 Community Food Income by in'!B38=0,"",'[1]369 Community Food Income by in'!B38)</f>
        <v/>
      </c>
      <c r="C38" s="4" t="str">
        <f>IF('[1]369 Community Food Income by in'!C38=0,"",'[1]369 Community Food Income by in'!C38)</f>
        <v/>
      </c>
      <c r="D38" s="4" t="str">
        <f>IF('[1]369 Community Food Income by in'!$C38=0,"",'[1]369 Community Food Income by in'!D38)</f>
        <v/>
      </c>
      <c r="E38" s="4" t="str">
        <f>IF('[1]369 Community Food Income by in'!$C38=0,"",'[1]369 Community Food Income by in'!E38)</f>
        <v/>
      </c>
      <c r="F38" s="4" t="str">
        <f>IF('[1]369 Community Food Income by in'!$C38=0,"",'[1]369 Community Food Income by in'!F38)</f>
        <v/>
      </c>
      <c r="G38" s="4" t="str">
        <f>IF('[1]369 Community Food Income by in'!$C38=0,"",'[1]369 Community Food Income by in'!G38)</f>
        <v/>
      </c>
      <c r="H38" s="4" t="str">
        <f>IF('[1]369 Community Food Income by in'!$C38=0,"",'[1]369 Community Food Income by in'!H38)</f>
        <v/>
      </c>
    </row>
    <row r="39" spans="1:8">
      <c r="A39" s="4"/>
      <c r="B39" s="4" t="str">
        <f>IF('[1]369 Community Food Income by in'!B39=0,"",'[1]369 Community Food Income by in'!B39)</f>
        <v/>
      </c>
      <c r="C39" s="4" t="str">
        <f>IF('[1]369 Community Food Income by in'!C39=0,"",'[1]369 Community Food Income by in'!C39)</f>
        <v/>
      </c>
      <c r="D39" s="4" t="str">
        <f>IF('[1]369 Community Food Income by in'!$C39=0,"",'[1]369 Community Food Income by in'!D39)</f>
        <v/>
      </c>
      <c r="E39" s="4" t="str">
        <f>IF('[1]369 Community Food Income by in'!$C39=0,"",'[1]369 Community Food Income by in'!E39)</f>
        <v/>
      </c>
      <c r="F39" s="4" t="str">
        <f>IF('[1]369 Community Food Income by in'!$C39=0,"",'[1]369 Community Food Income by in'!F39)</f>
        <v/>
      </c>
      <c r="G39" s="4" t="str">
        <f>IF('[1]369 Community Food Income by in'!$C39=0,"",'[1]369 Community Food Income by in'!G39)</f>
        <v/>
      </c>
      <c r="H39" s="4" t="str">
        <f>IF('[1]369 Community Food Income by in'!$C39=0,"",'[1]369 Community Food Income by in'!H39)</f>
        <v/>
      </c>
    </row>
    <row r="40" spans="1:8">
      <c r="A40" s="4"/>
      <c r="B40" s="4" t="str">
        <f>IF('[1]369 Community Food Income by in'!B40=0,"",'[1]369 Community Food Income by in'!B40)</f>
        <v/>
      </c>
      <c r="C40" s="4" t="str">
        <f>IF('[1]369 Community Food Income by in'!C40=0,"",'[1]369 Community Food Income by in'!C40)</f>
        <v/>
      </c>
      <c r="D40" s="4" t="str">
        <f>IF('[1]369 Community Food Income by in'!$C40=0,"",'[1]369 Community Food Income by in'!D40)</f>
        <v/>
      </c>
      <c r="E40" s="4" t="str">
        <f>IF('[1]369 Community Food Income by in'!$C40=0,"",'[1]369 Community Food Income by in'!E40)</f>
        <v/>
      </c>
      <c r="F40" s="4" t="str">
        <f>IF('[1]369 Community Food Income by in'!$C40=0,"",'[1]369 Community Food Income by in'!F40)</f>
        <v/>
      </c>
      <c r="G40" s="4" t="str">
        <f>IF('[1]369 Community Food Income by in'!$C40=0,"",'[1]369 Community Food Income by in'!G40)</f>
        <v/>
      </c>
      <c r="H40" s="4" t="str">
        <f>IF('[1]369 Community Food Income by in'!$C40=0,"",'[1]369 Community Food Income by in'!H40)</f>
        <v/>
      </c>
    </row>
    <row r="41" spans="1:8">
      <c r="A41" s="4"/>
      <c r="B41" s="4" t="str">
        <f>IF('[1]369 Community Food Income by in'!B41=0,"",'[1]369 Community Food Income by in'!B41)</f>
        <v/>
      </c>
      <c r="C41" s="4" t="str">
        <f>IF('[1]369 Community Food Income by in'!C41=0,"",'[1]369 Community Food Income by in'!C41)</f>
        <v/>
      </c>
      <c r="D41" s="4" t="str">
        <f>IF('[1]369 Community Food Income by in'!$C41=0,"",'[1]369 Community Food Income by in'!D41)</f>
        <v/>
      </c>
      <c r="E41" s="4" t="str">
        <f>IF('[1]369 Community Food Income by in'!$C41=0,"",'[1]369 Community Food Income by in'!E41)</f>
        <v/>
      </c>
      <c r="F41" s="4" t="str">
        <f>IF('[1]369 Community Food Income by in'!$C41=0,"",'[1]369 Community Food Income by in'!F41)</f>
        <v/>
      </c>
      <c r="G41" s="4" t="str">
        <f>IF('[1]369 Community Food Income by in'!$C41=0,"",'[1]369 Community Food Income by in'!G41)</f>
        <v/>
      </c>
      <c r="H41" s="4" t="str">
        <f>IF('[1]369 Community Food Income by in'!$C41=0,"",'[1]369 Community Food Income by in'!H41)</f>
        <v/>
      </c>
    </row>
    <row r="42" spans="1:8">
      <c r="A42" s="4"/>
      <c r="B42" s="4" t="str">
        <f>IF('[1]369 Community Food Income by in'!B42=0,"",'[1]369 Community Food Income by in'!B42)</f>
        <v/>
      </c>
      <c r="C42" s="4" t="str">
        <f>IF('[1]369 Community Food Income by in'!C42=0,"",'[1]369 Community Food Income by in'!C42)</f>
        <v/>
      </c>
      <c r="D42" s="4" t="str">
        <f>IF('[1]369 Community Food Income by in'!$C42=0,"",'[1]369 Community Food Income by in'!D42)</f>
        <v/>
      </c>
      <c r="E42" s="4" t="str">
        <f>IF('[1]369 Community Food Income by in'!$C42=0,"",'[1]369 Community Food Income by in'!E42)</f>
        <v/>
      </c>
      <c r="F42" s="4" t="str">
        <f>IF('[1]369 Community Food Income by in'!$C42=0,"",'[1]369 Community Food Income by in'!F42)</f>
        <v/>
      </c>
      <c r="G42" s="4" t="str">
        <f>IF('[1]369 Community Food Income by in'!$C42=0,"",'[1]369 Community Food Income by in'!G42)</f>
        <v/>
      </c>
      <c r="H42" s="4" t="str">
        <f>IF('[1]369 Community Food Income by in'!$C42=0,"",'[1]369 Community Food Income by in'!H42)</f>
        <v/>
      </c>
    </row>
    <row r="43" spans="1:8">
      <c r="A43" s="4"/>
      <c r="B43" s="4" t="str">
        <f>IF('[1]369 Community Food Income by in'!B43=0,"",'[1]369 Community Food Income by in'!B43)</f>
        <v/>
      </c>
      <c r="C43" s="4" t="str">
        <f>IF('[1]369 Community Food Income by in'!C43=0,"",'[1]369 Community Food Income by in'!C43)</f>
        <v/>
      </c>
      <c r="D43" s="4" t="str">
        <f>IF('[1]369 Community Food Income by in'!$C43=0,"",'[1]369 Community Food Income by in'!D43)</f>
        <v/>
      </c>
      <c r="E43" s="4" t="str">
        <f>IF('[1]369 Community Food Income by in'!$C43=0,"",'[1]369 Community Food Income by in'!E43)</f>
        <v/>
      </c>
      <c r="F43" s="4" t="str">
        <f>IF('[1]369 Community Food Income by in'!$C43=0,"",'[1]369 Community Food Income by in'!F43)</f>
        <v/>
      </c>
      <c r="G43" s="4" t="str">
        <f>IF('[1]369 Community Food Income by in'!$C43=0,"",'[1]369 Community Food Income by in'!G43)</f>
        <v/>
      </c>
      <c r="H43" s="4" t="str">
        <f>IF('[1]369 Community Food Income by in'!$C43=0,"",'[1]369 Community Food Income by in'!H43)</f>
        <v/>
      </c>
    </row>
    <row r="44" spans="1:8">
      <c r="A44" s="4"/>
      <c r="B44" s="4" t="str">
        <f>IF('[1]369 Community Food Income by in'!B44=0,"",'[1]369 Community Food Income by in'!B44)</f>
        <v/>
      </c>
      <c r="C44" s="4" t="str">
        <f>IF('[1]369 Community Food Income by in'!C44=0,"",'[1]369 Community Food Income by in'!C44)</f>
        <v/>
      </c>
      <c r="D44" s="4" t="str">
        <f>IF('[1]369 Community Food Income by in'!$C44=0,"",'[1]369 Community Food Income by in'!D44)</f>
        <v/>
      </c>
      <c r="E44" s="4" t="str">
        <f>IF('[1]369 Community Food Income by in'!$C44=0,"",'[1]369 Community Food Income by in'!E44)</f>
        <v/>
      </c>
      <c r="F44" s="4" t="str">
        <f>IF('[1]369 Community Food Income by in'!$C44=0,"",'[1]369 Community Food Income by in'!F44)</f>
        <v/>
      </c>
      <c r="G44" s="4" t="str">
        <f>IF('[1]369 Community Food Income by in'!$C44=0,"",'[1]369 Community Food Income by in'!G44)</f>
        <v/>
      </c>
      <c r="H44" s="4" t="str">
        <f>IF('[1]369 Community Food Income by in'!$C44=0,"",'[1]369 Community Food Income by in'!H44)</f>
        <v/>
      </c>
    </row>
    <row r="45" spans="1:8">
      <c r="A45" s="4"/>
      <c r="B45" s="4" t="str">
        <f>IF('[1]369 Community Food Income by in'!B45=0,"",'[1]369 Community Food Income by in'!B45)</f>
        <v/>
      </c>
      <c r="C45" s="4" t="str">
        <f>IF('[1]369 Community Food Income by in'!C45=0,"",'[1]369 Community Food Income by in'!C45)</f>
        <v/>
      </c>
      <c r="D45" s="4" t="str">
        <f>IF('[1]369 Community Food Income by in'!$C45=0,"",'[1]369 Community Food Income by in'!D45)</f>
        <v/>
      </c>
      <c r="E45" s="4" t="str">
        <f>IF('[1]369 Community Food Income by in'!$C45=0,"",'[1]369 Community Food Income by in'!E45)</f>
        <v/>
      </c>
      <c r="F45" s="4" t="str">
        <f>IF('[1]369 Community Food Income by in'!$C45=0,"",'[1]369 Community Food Income by in'!F45)</f>
        <v/>
      </c>
      <c r="G45" s="4" t="str">
        <f>IF('[1]369 Community Food Income by in'!$C45=0,"",'[1]369 Community Food Income by in'!G45)</f>
        <v/>
      </c>
      <c r="H45" s="4" t="str">
        <f>IF('[1]369 Community Food Income by in'!$C45=0,"",'[1]369 Community Food Income by in'!H45)</f>
        <v/>
      </c>
    </row>
    <row r="46" spans="1:8">
      <c r="A46" s="4"/>
      <c r="B46" s="4" t="str">
        <f>IF('[1]369 Community Food Income by in'!B46=0,"",'[1]369 Community Food Income by in'!B46)</f>
        <v/>
      </c>
      <c r="C46" s="4" t="str">
        <f>IF('[1]369 Community Food Income by in'!C46=0,"",'[1]369 Community Food Income by in'!C46)</f>
        <v/>
      </c>
      <c r="D46" s="4" t="str">
        <f>IF('[1]369 Community Food Income by in'!$C46=0,"",'[1]369 Community Food Income by in'!D46)</f>
        <v/>
      </c>
      <c r="E46" s="4" t="str">
        <f>IF('[1]369 Community Food Income by in'!$C46=0,"",'[1]369 Community Food Income by in'!E46)</f>
        <v/>
      </c>
      <c r="F46" s="4" t="str">
        <f>IF('[1]369 Community Food Income by in'!$C46=0,"",'[1]369 Community Food Income by in'!F46)</f>
        <v/>
      </c>
      <c r="G46" s="4" t="str">
        <f>IF('[1]369 Community Food Income by in'!$C46=0,"",'[1]369 Community Food Income by in'!G46)</f>
        <v/>
      </c>
      <c r="H46" s="4" t="str">
        <f>IF('[1]369 Community Food Income by in'!$C46=0,"",'[1]369 Community Food Income by in'!H46)</f>
        <v/>
      </c>
    </row>
    <row r="47" spans="1:8">
      <c r="A47" s="4"/>
      <c r="B47" s="4" t="str">
        <f>IF('[1]369 Community Food Income by in'!B47=0,"",'[1]369 Community Food Income by in'!B47)</f>
        <v/>
      </c>
      <c r="C47" s="4" t="str">
        <f>IF('[1]369 Community Food Income by in'!C47=0,"",'[1]369 Community Food Income by in'!C47)</f>
        <v/>
      </c>
      <c r="D47" s="4" t="str">
        <f>IF('[1]369 Community Food Income by in'!$C47=0,"",'[1]369 Community Food Income by in'!D47)</f>
        <v/>
      </c>
      <c r="E47" s="4" t="str">
        <f>IF('[1]369 Community Food Income by in'!$C47=0,"",'[1]369 Community Food Income by in'!E47)</f>
        <v/>
      </c>
      <c r="F47" s="4" t="str">
        <f>IF('[1]369 Community Food Income by in'!$C47=0,"",'[1]369 Community Food Income by in'!F47)</f>
        <v/>
      </c>
      <c r="G47" s="4" t="str">
        <f>IF('[1]369 Community Food Income by in'!$C47=0,"",'[1]369 Community Food Income by in'!G47)</f>
        <v/>
      </c>
      <c r="H47" s="4" t="str">
        <f>IF('[1]369 Community Food Income by in'!$C47=0,"",'[1]369 Community Food Income by in'!H47)</f>
        <v/>
      </c>
    </row>
    <row r="48" spans="1:8">
      <c r="A48" s="4"/>
      <c r="B48" s="4" t="str">
        <f>IF('[1]369 Community Food Income by in'!B48=0,"",'[1]369 Community Food Income by in'!B48)</f>
        <v/>
      </c>
      <c r="C48" s="4" t="str">
        <f>IF('[1]369 Community Food Income by in'!C48=0,"",'[1]369 Community Food Income by in'!C48)</f>
        <v/>
      </c>
      <c r="D48" s="4" t="str">
        <f>IF('[1]369 Community Food Income by in'!$C48=0,"",'[1]369 Community Food Income by in'!D48)</f>
        <v/>
      </c>
      <c r="E48" s="4" t="str">
        <f>IF('[1]369 Community Food Income by in'!$C48=0,"",'[1]369 Community Food Income by in'!E48)</f>
        <v/>
      </c>
      <c r="F48" s="4" t="str">
        <f>IF('[1]369 Community Food Income by in'!$C48=0,"",'[1]369 Community Food Income by in'!F48)</f>
        <v/>
      </c>
      <c r="G48" s="4" t="str">
        <f>IF('[1]369 Community Food Income by in'!$C48=0,"",'[1]369 Community Food Income by in'!G48)</f>
        <v/>
      </c>
      <c r="H48" s="4" t="str">
        <f>IF('[1]369 Community Food Income by in'!$C48=0,"",'[1]369 Community Food Income by in'!H48)</f>
        <v/>
      </c>
    </row>
    <row r="49" spans="1:8">
      <c r="A49" s="4"/>
      <c r="B49" s="4" t="str">
        <f>IF('[1]369 Community Food Income by in'!B49=0,"",'[1]369 Community Food Income by in'!B49)</f>
        <v/>
      </c>
      <c r="C49" s="4" t="str">
        <f>IF('[1]369 Community Food Income by in'!C49=0,"",'[1]369 Community Food Income by in'!C49)</f>
        <v/>
      </c>
      <c r="D49" s="4" t="str">
        <f>IF('[1]369 Community Food Income by in'!$C49=0,"",'[1]369 Community Food Income by in'!D49)</f>
        <v/>
      </c>
      <c r="E49" s="4" t="str">
        <f>IF('[1]369 Community Food Income by in'!$C49=0,"",'[1]369 Community Food Income by in'!E49)</f>
        <v/>
      </c>
      <c r="F49" s="4" t="str">
        <f>IF('[1]369 Community Food Income by in'!$C49=0,"",'[1]369 Community Food Income by in'!F49)</f>
        <v/>
      </c>
      <c r="G49" s="4" t="str">
        <f>IF('[1]369 Community Food Income by in'!$C49=0,"",'[1]369 Community Food Income by in'!G49)</f>
        <v/>
      </c>
      <c r="H49" s="4" t="str">
        <f>IF('[1]369 Community Food Income by in'!$C49=0,"",'[1]369 Community Food Income by in'!H49)</f>
        <v/>
      </c>
    </row>
    <row r="50" spans="1:8">
      <c r="A50" s="4"/>
      <c r="B50" s="4" t="str">
        <f>IF('[1]369 Community Food Income by in'!B50=0,"",'[1]369 Community Food Income by in'!B50)</f>
        <v/>
      </c>
      <c r="C50" s="4" t="str">
        <f>IF('[1]369 Community Food Income by in'!C50=0,"",'[1]369 Community Food Income by in'!C50)</f>
        <v/>
      </c>
      <c r="D50" s="4" t="str">
        <f>IF('[1]369 Community Food Income by in'!$C50=0,"",'[1]369 Community Food Income by in'!D50)</f>
        <v/>
      </c>
      <c r="E50" s="4" t="str">
        <f>IF('[1]369 Community Food Income by in'!$C50=0,"",'[1]369 Community Food Income by in'!E50)</f>
        <v/>
      </c>
      <c r="F50" s="4" t="str">
        <f>IF('[1]369 Community Food Income by in'!$C50=0,"",'[1]369 Community Food Income by in'!F50)</f>
        <v/>
      </c>
      <c r="G50" s="4" t="str">
        <f>IF('[1]369 Community Food Income by in'!$C50=0,"",'[1]369 Community Food Income by in'!G50)</f>
        <v/>
      </c>
      <c r="H50" s="4" t="str">
        <f>IF('[1]369 Community Food Income by in'!$C50=0,"",'[1]369 Community Food Income by in'!H50)</f>
        <v/>
      </c>
    </row>
    <row r="51" spans="1:8">
      <c r="A51" s="4"/>
      <c r="B51" s="4" t="str">
        <f>IF('[1]369 Community Food Income by in'!B51=0,"",'[1]369 Community Food Income by in'!B51)</f>
        <v/>
      </c>
      <c r="C51" s="4" t="str">
        <f>IF('[1]369 Community Food Income by in'!C51=0,"",'[1]369 Community Food Income by in'!C51)</f>
        <v/>
      </c>
      <c r="D51" s="4" t="str">
        <f>IF('[1]369 Community Food Income by in'!$C51=0,"",'[1]369 Community Food Income by in'!D51)</f>
        <v/>
      </c>
      <c r="E51" s="4" t="str">
        <f>IF('[1]369 Community Food Income by in'!$C51=0,"",'[1]369 Community Food Income by in'!E51)</f>
        <v/>
      </c>
      <c r="F51" s="4" t="str">
        <f>IF('[1]369 Community Food Income by in'!$C51=0,"",'[1]369 Community Food Income by in'!F51)</f>
        <v/>
      </c>
      <c r="G51" s="4" t="str">
        <f>IF('[1]369 Community Food Income by in'!$C51=0,"",'[1]369 Community Food Income by in'!G51)</f>
        <v/>
      </c>
      <c r="H51" s="4" t="str">
        <f>IF('[1]369 Community Food Income by in'!$C51=0,"",'[1]369 Community Food Income by in'!H51)</f>
        <v/>
      </c>
    </row>
    <row r="52" spans="1:8">
      <c r="A52" s="4"/>
      <c r="B52" s="4" t="str">
        <f>IF('[1]369 Community Food Income by in'!B52=0,"",'[1]369 Community Food Income by in'!B52)</f>
        <v/>
      </c>
      <c r="C52" s="4" t="str">
        <f>IF('[1]369 Community Food Income by in'!C52=0,"",'[1]369 Community Food Income by in'!C52)</f>
        <v/>
      </c>
      <c r="D52" s="4" t="str">
        <f>IF('[1]369 Community Food Income by in'!$C52=0,"",'[1]369 Community Food Income by in'!D52)</f>
        <v/>
      </c>
      <c r="E52" s="4" t="str">
        <f>IF('[1]369 Community Food Income by in'!$C52=0,"",'[1]369 Community Food Income by in'!E52)</f>
        <v/>
      </c>
      <c r="F52" s="4" t="str">
        <f>IF('[1]369 Community Food Income by in'!$C52=0,"",'[1]369 Community Food Income by in'!F52)</f>
        <v/>
      </c>
      <c r="G52" s="4" t="str">
        <f>IF('[1]369 Community Food Income by in'!$C52=0,"",'[1]369 Community Food Income by in'!G52)</f>
        <v/>
      </c>
      <c r="H52" s="4" t="str">
        <f>IF('[1]369 Community Food Income by in'!$C52=0,"",'[1]369 Community Food Income by in'!H52)</f>
        <v/>
      </c>
    </row>
    <row r="53" spans="1:8">
      <c r="A53" s="4"/>
      <c r="B53" s="4" t="str">
        <f>IF('[1]369 Community Food Income by in'!B53=0,"",'[1]369 Community Food Income by in'!B53)</f>
        <v/>
      </c>
      <c r="C53" s="4" t="str">
        <f>IF('[1]369 Community Food Income by in'!C53=0,"",'[1]369 Community Food Income by in'!C53)</f>
        <v/>
      </c>
      <c r="D53" s="4" t="str">
        <f>IF('[1]369 Community Food Income by in'!$C53=0,"",'[1]369 Community Food Income by in'!D53)</f>
        <v/>
      </c>
      <c r="E53" s="4" t="str">
        <f>IF('[1]369 Community Food Income by in'!$C53=0,"",'[1]369 Community Food Income by in'!E53)</f>
        <v/>
      </c>
      <c r="F53" s="4" t="str">
        <f>IF('[1]369 Community Food Income by in'!$C53=0,"",'[1]369 Community Food Income by in'!F53)</f>
        <v/>
      </c>
      <c r="G53" s="4" t="str">
        <f>IF('[1]369 Community Food Income by in'!$C53=0,"",'[1]369 Community Food Income by in'!G53)</f>
        <v/>
      </c>
      <c r="H53" s="4" t="str">
        <f>IF('[1]369 Community Food Income by in'!$C53=0,"",'[1]369 Community Food Income by in'!H53)</f>
        <v/>
      </c>
    </row>
    <row r="54" spans="1:8">
      <c r="A54" s="4"/>
      <c r="B54" s="4" t="str">
        <f>IF('[1]369 Community Food Income by in'!B54=0,"",'[1]369 Community Food Income by in'!B54)</f>
        <v/>
      </c>
      <c r="C54" s="4" t="str">
        <f>IF('[1]369 Community Food Income by in'!C54=0,"",'[1]369 Community Food Income by in'!C54)</f>
        <v/>
      </c>
      <c r="D54" s="4" t="str">
        <f>IF('[1]369 Community Food Income by in'!$C54=0,"",'[1]369 Community Food Income by in'!D54)</f>
        <v/>
      </c>
      <c r="E54" s="4" t="str">
        <f>IF('[1]369 Community Food Income by in'!$C54=0,"",'[1]369 Community Food Income by in'!E54)</f>
        <v/>
      </c>
      <c r="F54" s="4" t="str">
        <f>IF('[1]369 Community Food Income by in'!$C54=0,"",'[1]369 Community Food Income by in'!F54)</f>
        <v/>
      </c>
      <c r="G54" s="4" t="str">
        <f>IF('[1]369 Community Food Income by in'!$C54=0,"",'[1]369 Community Food Income by in'!G54)</f>
        <v/>
      </c>
      <c r="H54" s="4" t="str">
        <f>IF('[1]369 Community Food Income by in'!$C54=0,"",'[1]369 Community Food Income by in'!H54)</f>
        <v/>
      </c>
    </row>
    <row r="55" spans="1:8">
      <c r="A55" s="4"/>
      <c r="B55" s="4" t="str">
        <f>IF('[1]369 Community Food Income by in'!B55=0,"",'[1]369 Community Food Income by in'!B55)</f>
        <v/>
      </c>
      <c r="C55" s="4" t="str">
        <f>IF('[1]369 Community Food Income by in'!C55=0,"",'[1]369 Community Food Income by in'!C55)</f>
        <v/>
      </c>
      <c r="D55" s="4" t="str">
        <f>IF('[1]369 Community Food Income by in'!$C55=0,"",'[1]369 Community Food Income by in'!D55)</f>
        <v/>
      </c>
      <c r="E55" s="4" t="str">
        <f>IF('[1]369 Community Food Income by in'!$C55=0,"",'[1]369 Community Food Income by in'!E55)</f>
        <v/>
      </c>
      <c r="F55" s="4" t="str">
        <f>IF('[1]369 Community Food Income by in'!$C55=0,"",'[1]369 Community Food Income by in'!F55)</f>
        <v/>
      </c>
      <c r="G55" s="4" t="str">
        <f>IF('[1]369 Community Food Income by in'!$C55=0,"",'[1]369 Community Food Income by in'!G55)</f>
        <v/>
      </c>
      <c r="H55" s="4" t="str">
        <f>IF('[1]369 Community Food Income by in'!$C55=0,"",'[1]369 Community Food Income by in'!H55)</f>
        <v/>
      </c>
    </row>
    <row r="56" spans="1:8">
      <c r="A56" s="4"/>
      <c r="B56" s="4" t="str">
        <f>IF('[1]369 Community Food Income by in'!B56=0,"",'[1]369 Community Food Income by in'!B56)</f>
        <v/>
      </c>
      <c r="C56" s="4" t="str">
        <f>IF('[1]369 Community Food Income by in'!C56=0,"",'[1]369 Community Food Income by in'!C56)</f>
        <v/>
      </c>
      <c r="D56" s="4" t="str">
        <f>IF('[1]369 Community Food Income by in'!$C56=0,"",'[1]369 Community Food Income by in'!D56)</f>
        <v/>
      </c>
      <c r="E56" s="4" t="str">
        <f>IF('[1]369 Community Food Income by in'!$C56=0,"",'[1]369 Community Food Income by in'!E56)</f>
        <v/>
      </c>
      <c r="F56" s="4" t="str">
        <f>IF('[1]369 Community Food Income by in'!$C56=0,"",'[1]369 Community Food Income by in'!F56)</f>
        <v/>
      </c>
      <c r="G56" s="4" t="str">
        <f>IF('[1]369 Community Food Income by in'!$C56=0,"",'[1]369 Community Food Income by in'!G56)</f>
        <v/>
      </c>
      <c r="H56" s="4" t="str">
        <f>IF('[1]369 Community Food Income by in'!$C56=0,"",'[1]369 Community Food Income by in'!H56)</f>
        <v/>
      </c>
    </row>
    <row r="57" spans="1:8">
      <c r="A57" s="4"/>
      <c r="B57" s="4" t="str">
        <f>IF('[1]369 Community Food Income by in'!B57=0,"",'[1]369 Community Food Income by in'!B57)</f>
        <v/>
      </c>
      <c r="C57" s="4" t="str">
        <f>IF('[1]369 Community Food Income by in'!C57=0,"",'[1]369 Community Food Income by in'!C57)</f>
        <v/>
      </c>
      <c r="D57" s="4" t="str">
        <f>IF('[1]369 Community Food Income by in'!$C57=0,"",'[1]369 Community Food Income by in'!D57)</f>
        <v/>
      </c>
      <c r="E57" s="4" t="str">
        <f>IF('[1]369 Community Food Income by in'!$C57=0,"",'[1]369 Community Food Income by in'!E57)</f>
        <v/>
      </c>
      <c r="F57" s="4" t="str">
        <f>IF('[1]369 Community Food Income by in'!$C57=0,"",'[1]369 Community Food Income by in'!F57)</f>
        <v/>
      </c>
      <c r="G57" s="4" t="str">
        <f>IF('[1]369 Community Food Income by in'!$C57=0,"",'[1]369 Community Food Income by in'!G57)</f>
        <v/>
      </c>
      <c r="H57" s="4" t="str">
        <f>IF('[1]369 Community Food Income by in'!$C57=0,"",'[1]369 Community Food Income by in'!H57)</f>
        <v/>
      </c>
    </row>
    <row r="58" spans="1:8">
      <c r="A58" s="4"/>
      <c r="B58" s="4" t="str">
        <f>IF('[1]369 Community Food Income by in'!B58=0,"",'[1]369 Community Food Income by in'!B58)</f>
        <v/>
      </c>
      <c r="C58" s="4" t="str">
        <f>IF('[1]369 Community Food Income by in'!C58=0,"",'[1]369 Community Food Income by in'!C58)</f>
        <v/>
      </c>
      <c r="D58" s="4" t="str">
        <f>IF('[1]369 Community Food Income by in'!$C58=0,"",'[1]369 Community Food Income by in'!D58)</f>
        <v/>
      </c>
      <c r="E58" s="4" t="str">
        <f>IF('[1]369 Community Food Income by in'!$C58=0,"",'[1]369 Community Food Income by in'!E58)</f>
        <v/>
      </c>
      <c r="F58" s="4" t="str">
        <f>IF('[1]369 Community Food Income by in'!$C58=0,"",'[1]369 Community Food Income by in'!F58)</f>
        <v/>
      </c>
      <c r="G58" s="4" t="str">
        <f>IF('[1]369 Community Food Income by in'!$C58=0,"",'[1]369 Community Food Income by in'!G58)</f>
        <v/>
      </c>
      <c r="H58" s="4" t="str">
        <f>IF('[1]369 Community Food Income by in'!$C58=0,"",'[1]369 Community Food Income by in'!H58)</f>
        <v/>
      </c>
    </row>
    <row r="59" spans="1:8">
      <c r="A59" s="4"/>
      <c r="B59" s="4" t="str">
        <f>IF('[1]369 Community Food Income by in'!B59=0,"",'[1]369 Community Food Income by in'!B59)</f>
        <v/>
      </c>
      <c r="C59" s="4" t="str">
        <f>IF('[1]369 Community Food Income by in'!C59=0,"",'[1]369 Community Food Income by in'!C59)</f>
        <v/>
      </c>
      <c r="D59" s="4" t="str">
        <f>IF('[1]369 Community Food Income by in'!$C59=0,"",'[1]369 Community Food Income by in'!D59)</f>
        <v/>
      </c>
      <c r="E59" s="4" t="str">
        <f>IF('[1]369 Community Food Income by in'!$C59=0,"",'[1]369 Community Food Income by in'!E59)</f>
        <v/>
      </c>
      <c r="F59" s="4" t="str">
        <f>IF('[1]369 Community Food Income by in'!$C59=0,"",'[1]369 Community Food Income by in'!F59)</f>
        <v/>
      </c>
      <c r="G59" s="4" t="str">
        <f>IF('[1]369 Community Food Income by in'!$C59=0,"",'[1]369 Community Food Income by in'!G59)</f>
        <v/>
      </c>
      <c r="H59" s="4" t="str">
        <f>IF('[1]369 Community Food Income by in'!$C59=0,"",'[1]369 Community Food Income by in'!H59)</f>
        <v/>
      </c>
    </row>
    <row r="60" spans="1:8">
      <c r="A60" s="4"/>
      <c r="B60" s="4" t="str">
        <f>IF('[1]369 Community Food Income by in'!B60=0,"",'[1]369 Community Food Income by in'!B60)</f>
        <v/>
      </c>
      <c r="C60" s="4" t="str">
        <f>IF('[1]369 Community Food Income by in'!C60=0,"",'[1]369 Community Food Income by in'!C60)</f>
        <v/>
      </c>
      <c r="D60" s="4" t="str">
        <f>IF('[1]369 Community Food Income by in'!$C60=0,"",'[1]369 Community Food Income by in'!D60)</f>
        <v/>
      </c>
      <c r="E60" s="4" t="str">
        <f>IF('[1]369 Community Food Income by in'!$C60=0,"",'[1]369 Community Food Income by in'!E60)</f>
        <v/>
      </c>
      <c r="F60" s="4" t="str">
        <f>IF('[1]369 Community Food Income by in'!$C60=0,"",'[1]369 Community Food Income by in'!F60)</f>
        <v/>
      </c>
      <c r="G60" s="4" t="str">
        <f>IF('[1]369 Community Food Income by in'!$C60=0,"",'[1]369 Community Food Income by in'!G60)</f>
        <v/>
      </c>
      <c r="H60" s="4" t="str">
        <f>IF('[1]369 Community Food Income by in'!$C60=0,"",'[1]369 Community Food Income by in'!H60)</f>
        <v/>
      </c>
    </row>
    <row r="61" spans="1:8">
      <c r="A61" s="4"/>
      <c r="B61" s="4" t="str">
        <f>IF('[1]369 Community Food Income by in'!B61=0,"",'[1]369 Community Food Income by in'!B61)</f>
        <v/>
      </c>
      <c r="C61" s="4" t="str">
        <f>IF('[1]369 Community Food Income by in'!C61=0,"",'[1]369 Community Food Income by in'!C61)</f>
        <v/>
      </c>
      <c r="D61" s="4" t="str">
        <f>IF('[1]369 Community Food Income by in'!$C61=0,"",'[1]369 Community Food Income by in'!D61)</f>
        <v/>
      </c>
      <c r="E61" s="4" t="str">
        <f>IF('[1]369 Community Food Income by in'!$C61=0,"",'[1]369 Community Food Income by in'!E61)</f>
        <v/>
      </c>
      <c r="F61" s="4" t="str">
        <f>IF('[1]369 Community Food Income by in'!$C61=0,"",'[1]369 Community Food Income by in'!F61)</f>
        <v/>
      </c>
      <c r="G61" s="4" t="str">
        <f>IF('[1]369 Community Food Income by in'!$C61=0,"",'[1]369 Community Food Income by in'!G61)</f>
        <v/>
      </c>
      <c r="H61" s="4" t="str">
        <f>IF('[1]369 Community Food Income by in'!$C61=0,"",'[1]369 Community Food Income by in'!H61)</f>
        <v/>
      </c>
    </row>
    <row r="62" spans="1:8">
      <c r="A62" s="4"/>
      <c r="B62" s="4" t="str">
        <f>IF('[1]369 Community Food Income by in'!B62=0,"",'[1]369 Community Food Income by in'!B62)</f>
        <v/>
      </c>
      <c r="C62" s="4" t="str">
        <f>IF('[1]369 Community Food Income by in'!C62=0,"",'[1]369 Community Food Income by in'!C62)</f>
        <v/>
      </c>
      <c r="D62" s="4" t="str">
        <f>IF('[1]369 Community Food Income by in'!$C62=0,"",'[1]369 Community Food Income by in'!D62)</f>
        <v/>
      </c>
      <c r="E62" s="4" t="str">
        <f>IF('[1]369 Community Food Income by in'!$C62=0,"",'[1]369 Community Food Income by in'!E62)</f>
        <v/>
      </c>
      <c r="F62" s="4" t="str">
        <f>IF('[1]369 Community Food Income by in'!$C62=0,"",'[1]369 Community Food Income by in'!F62)</f>
        <v/>
      </c>
      <c r="G62" s="4" t="str">
        <f>IF('[1]369 Community Food Income by in'!$C62=0,"",'[1]369 Community Food Income by in'!G62)</f>
        <v/>
      </c>
      <c r="H62" s="4" t="str">
        <f>IF('[1]369 Community Food Income by in'!$C62=0,"",'[1]369 Community Food Income by in'!H62)</f>
        <v/>
      </c>
    </row>
    <row r="63" spans="1:8">
      <c r="A63" s="4"/>
      <c r="B63" s="4" t="str">
        <f>IF('[1]369 Community Food Income by in'!B63=0,"",'[1]369 Community Food Income by in'!B63)</f>
        <v/>
      </c>
      <c r="C63" s="4" t="str">
        <f>IF('[1]369 Community Food Income by in'!C63=0,"",'[1]369 Community Food Income by in'!C63)</f>
        <v/>
      </c>
      <c r="D63" s="4" t="str">
        <f>IF('[1]369 Community Food Income by in'!$C63=0,"",'[1]369 Community Food Income by in'!D63)</f>
        <v/>
      </c>
      <c r="E63" s="4" t="str">
        <f>IF('[1]369 Community Food Income by in'!$C63=0,"",'[1]369 Community Food Income by in'!E63)</f>
        <v/>
      </c>
      <c r="F63" s="4" t="str">
        <f>IF('[1]369 Community Food Income by in'!$C63=0,"",'[1]369 Community Food Income by in'!F63)</f>
        <v/>
      </c>
      <c r="G63" s="4" t="str">
        <f>IF('[1]369 Community Food Income by in'!$C63=0,"",'[1]369 Community Food Income by in'!G63)</f>
        <v/>
      </c>
      <c r="H63" s="4" t="str">
        <f>IF('[1]369 Community Food Income by in'!$C63=0,"",'[1]369 Community Food Income by in'!H63)</f>
        <v/>
      </c>
    </row>
    <row r="64" spans="1:8">
      <c r="A64" s="4"/>
      <c r="B64" s="4" t="str">
        <f>IF('[1]369 Community Food Income by in'!B64=0,"",'[1]369 Community Food Income by in'!B64)</f>
        <v/>
      </c>
      <c r="C64" s="4" t="str">
        <f>IF('[1]369 Community Food Income by in'!C64=0,"",'[1]369 Community Food Income by in'!C64)</f>
        <v/>
      </c>
      <c r="D64" s="4" t="str">
        <f>IF('[1]369 Community Food Income by in'!$C64=0,"",'[1]369 Community Food Income by in'!D64)</f>
        <v/>
      </c>
      <c r="E64" s="4" t="str">
        <f>IF('[1]369 Community Food Income by in'!$C64=0,"",'[1]369 Community Food Income by in'!E64)</f>
        <v/>
      </c>
      <c r="F64" s="4" t="str">
        <f>IF('[1]369 Community Food Income by in'!$C64=0,"",'[1]369 Community Food Income by in'!F64)</f>
        <v/>
      </c>
      <c r="G64" s="4" t="str">
        <f>IF('[1]369 Community Food Income by in'!$C64=0,"",'[1]369 Community Food Income by in'!G64)</f>
        <v/>
      </c>
      <c r="H64" s="4" t="str">
        <f>IF('[1]369 Community Food Income by in'!$C64=0,"",'[1]369 Community Food Income by in'!H64)</f>
        <v/>
      </c>
    </row>
    <row r="65" spans="1:8">
      <c r="A65" s="4"/>
      <c r="B65" s="4" t="str">
        <f>IF('[1]369 Community Food Income by in'!B65=0,"",'[1]369 Community Food Income by in'!B65)</f>
        <v/>
      </c>
      <c r="C65" s="4" t="str">
        <f>IF('[1]369 Community Food Income by in'!C65=0,"",'[1]369 Community Food Income by in'!C65)</f>
        <v/>
      </c>
      <c r="D65" s="4" t="str">
        <f>IF('[1]369 Community Food Income by in'!$C65=0,"",'[1]369 Community Food Income by in'!D65)</f>
        <v/>
      </c>
      <c r="E65" s="4" t="str">
        <f>IF('[1]369 Community Food Income by in'!$C65=0,"",'[1]369 Community Food Income by in'!E65)</f>
        <v/>
      </c>
      <c r="F65" s="4" t="str">
        <f>IF('[1]369 Community Food Income by in'!$C65=0,"",'[1]369 Community Food Income by in'!F65)</f>
        <v/>
      </c>
      <c r="G65" s="4" t="str">
        <f>IF('[1]369 Community Food Income by in'!$C65=0,"",'[1]369 Community Food Income by in'!G65)</f>
        <v/>
      </c>
      <c r="H65" s="4" t="str">
        <f>IF('[1]369 Community Food Income by in'!$C65=0,"",'[1]369 Community Food Income by in'!H65)</f>
        <v/>
      </c>
    </row>
    <row r="66" spans="1:8">
      <c r="A66" s="4"/>
      <c r="B66" s="4" t="str">
        <f>IF('[1]369 Community Food Income by in'!B66=0,"",'[1]369 Community Food Income by in'!B66)</f>
        <v/>
      </c>
      <c r="C66" s="4" t="str">
        <f>IF('[1]369 Community Food Income by in'!C66=0,"",'[1]369 Community Food Income by in'!C66)</f>
        <v/>
      </c>
      <c r="D66" s="4" t="str">
        <f>IF('[1]369 Community Food Income by in'!$C66=0,"",'[1]369 Community Food Income by in'!D66)</f>
        <v/>
      </c>
      <c r="E66" s="4" t="str">
        <f>IF('[1]369 Community Food Income by in'!$C66=0,"",'[1]369 Community Food Income by in'!E66)</f>
        <v/>
      </c>
      <c r="F66" s="4" t="str">
        <f>IF('[1]369 Community Food Income by in'!$C66=0,"",'[1]369 Community Food Income by in'!F66)</f>
        <v/>
      </c>
      <c r="G66" s="4" t="str">
        <f>IF('[1]369 Community Food Income by in'!$C66=0,"",'[1]369 Community Food Income by in'!G66)</f>
        <v/>
      </c>
      <c r="H66" s="4" t="str">
        <f>IF('[1]369 Community Food Income by in'!$C66=0,"",'[1]369 Community Food Income by in'!H66)</f>
        <v/>
      </c>
    </row>
    <row r="67" spans="1:8">
      <c r="A67" s="4"/>
      <c r="B67" s="4" t="str">
        <f>IF('[1]369 Community Food Income by in'!B67=0,"",'[1]369 Community Food Income by in'!B67)</f>
        <v/>
      </c>
      <c r="C67" s="4" t="str">
        <f>IF('[1]369 Community Food Income by in'!C67=0,"",'[1]369 Community Food Income by in'!C67)</f>
        <v/>
      </c>
      <c r="D67" s="4" t="str">
        <f>IF('[1]369 Community Food Income by in'!$C67=0,"",'[1]369 Community Food Income by in'!D67)</f>
        <v/>
      </c>
      <c r="E67" s="4" t="str">
        <f>IF('[1]369 Community Food Income by in'!$C67=0,"",'[1]369 Community Food Income by in'!E67)</f>
        <v/>
      </c>
      <c r="F67" s="4" t="str">
        <f>IF('[1]369 Community Food Income by in'!$C67=0,"",'[1]369 Community Food Income by in'!F67)</f>
        <v/>
      </c>
      <c r="G67" s="4" t="str">
        <f>IF('[1]369 Community Food Income by in'!$C67=0,"",'[1]369 Community Food Income by in'!G67)</f>
        <v/>
      </c>
      <c r="H67" s="4" t="str">
        <f>IF('[1]369 Community Food Income by in'!$C67=0,"",'[1]369 Community Food Income by in'!H67)</f>
        <v/>
      </c>
    </row>
    <row r="68" spans="1:8">
      <c r="A68" s="4"/>
      <c r="B68" s="4" t="str">
        <f>IF('[1]369 Community Food Income by in'!B68=0,"",'[1]369 Community Food Income by in'!B68)</f>
        <v/>
      </c>
      <c r="C68" s="4" t="str">
        <f>IF('[1]369 Community Food Income by in'!C68=0,"",'[1]369 Community Food Income by in'!C68)</f>
        <v/>
      </c>
      <c r="D68" s="4" t="str">
        <f>IF('[1]369 Community Food Income by in'!$C68=0,"",'[1]369 Community Food Income by in'!D68)</f>
        <v/>
      </c>
      <c r="E68" s="4" t="str">
        <f>IF('[1]369 Community Food Income by in'!$C68=0,"",'[1]369 Community Food Income by in'!E68)</f>
        <v/>
      </c>
      <c r="F68" s="4" t="str">
        <f>IF('[1]369 Community Food Income by in'!$C68=0,"",'[1]369 Community Food Income by in'!F68)</f>
        <v/>
      </c>
      <c r="G68" s="4" t="str">
        <f>IF('[1]369 Community Food Income by in'!$C68=0,"",'[1]369 Community Food Income by in'!G68)</f>
        <v/>
      </c>
      <c r="H68" s="4" t="str">
        <f>IF('[1]369 Community Food Income by in'!$C68=0,"",'[1]369 Community Food Income by in'!H68)</f>
        <v/>
      </c>
    </row>
    <row r="69" spans="1:8">
      <c r="A69" s="4"/>
      <c r="B69" s="4" t="str">
        <f>IF('[1]369 Community Food Income by in'!B69=0,"",'[1]369 Community Food Income by in'!B69)</f>
        <v/>
      </c>
      <c r="C69" s="4" t="str">
        <f>IF('[1]369 Community Food Income by in'!C69=0,"",'[1]369 Community Food Income by in'!C69)</f>
        <v/>
      </c>
      <c r="D69" s="4" t="str">
        <f>IF('[1]369 Community Food Income by in'!$C69=0,"",'[1]369 Community Food Income by in'!D69)</f>
        <v/>
      </c>
      <c r="E69" s="4" t="str">
        <f>IF('[1]369 Community Food Income by in'!$C69=0,"",'[1]369 Community Food Income by in'!E69)</f>
        <v/>
      </c>
      <c r="F69" s="4" t="str">
        <f>IF('[1]369 Community Food Income by in'!$C69=0,"",'[1]369 Community Food Income by in'!F69)</f>
        <v/>
      </c>
      <c r="G69" s="4" t="str">
        <f>IF('[1]369 Community Food Income by in'!$C69=0,"",'[1]369 Community Food Income by in'!G69)</f>
        <v/>
      </c>
      <c r="H69" s="4" t="str">
        <f>IF('[1]369 Community Food Income by in'!$C69=0,"",'[1]369 Community Food Income by in'!H69)</f>
        <v/>
      </c>
    </row>
    <row r="70" spans="1:8">
      <c r="A70" s="4"/>
      <c r="B70" s="4" t="str">
        <f>IF('[1]369 Community Food Income by in'!B70=0,"",'[1]369 Community Food Income by in'!B70)</f>
        <v/>
      </c>
      <c r="C70" s="4" t="str">
        <f>IF('[1]369 Community Food Income by in'!C70=0,"",'[1]369 Community Food Income by in'!C70)</f>
        <v/>
      </c>
      <c r="D70" s="4" t="str">
        <f>IF('[1]369 Community Food Income by in'!$C70=0,"",'[1]369 Community Food Income by in'!D70)</f>
        <v/>
      </c>
      <c r="E70" s="4" t="str">
        <f>IF('[1]369 Community Food Income by in'!$C70=0,"",'[1]369 Community Food Income by in'!E70)</f>
        <v/>
      </c>
      <c r="F70" s="4" t="str">
        <f>IF('[1]369 Community Food Income by in'!$C70=0,"",'[1]369 Community Food Income by in'!F70)</f>
        <v/>
      </c>
      <c r="G70" s="4" t="str">
        <f>IF('[1]369 Community Food Income by in'!$C70=0,"",'[1]369 Community Food Income by in'!G70)</f>
        <v/>
      </c>
      <c r="H70" s="4" t="str">
        <f>IF('[1]369 Community Food Income by in'!$C70=0,"",'[1]369 Community Food Income by in'!H70)</f>
        <v/>
      </c>
    </row>
    <row r="71" spans="1:8">
      <c r="A71" s="4"/>
      <c r="B71" s="4" t="str">
        <f>IF('[1]369 Community Food Income by in'!B71=0,"",'[1]369 Community Food Income by in'!B71)</f>
        <v/>
      </c>
      <c r="C71" s="4" t="str">
        <f>IF('[1]369 Community Food Income by in'!C71=0,"",'[1]369 Community Food Income by in'!C71)</f>
        <v/>
      </c>
      <c r="D71" s="4" t="str">
        <f>IF('[1]369 Community Food Income by in'!$C71=0,"",'[1]369 Community Food Income by in'!D71)</f>
        <v/>
      </c>
      <c r="E71" s="4" t="str">
        <f>IF('[1]369 Community Food Income by in'!$C71=0,"",'[1]369 Community Food Income by in'!E71)</f>
        <v/>
      </c>
      <c r="F71" s="4" t="str">
        <f>IF('[1]369 Community Food Income by in'!$C71=0,"",'[1]369 Community Food Income by in'!F71)</f>
        <v/>
      </c>
      <c r="G71" s="4" t="str">
        <f>IF('[1]369 Community Food Income by in'!$C71=0,"",'[1]369 Community Food Income by in'!G71)</f>
        <v/>
      </c>
      <c r="H71" s="4" t="str">
        <f>IF('[1]369 Community Food Income by in'!$C71=0,"",'[1]369 Community Food Income by in'!H71)</f>
        <v/>
      </c>
    </row>
    <row r="72" spans="1:8">
      <c r="A72" s="4"/>
      <c r="B72" s="4" t="str">
        <f>IF('[1]369 Community Food Income by in'!B72=0,"",'[1]369 Community Food Income by in'!B72)</f>
        <v/>
      </c>
      <c r="C72" s="4" t="str">
        <f>IF('[1]369 Community Food Income by in'!C72=0,"",'[1]369 Community Food Income by in'!C72)</f>
        <v/>
      </c>
      <c r="D72" s="4" t="str">
        <f>IF('[1]369 Community Food Income by in'!$C72=0,"",'[1]369 Community Food Income by in'!D72)</f>
        <v/>
      </c>
      <c r="E72" s="4" t="str">
        <f>IF('[1]369 Community Food Income by in'!$C72=0,"",'[1]369 Community Food Income by in'!E72)</f>
        <v/>
      </c>
      <c r="F72" s="4" t="str">
        <f>IF('[1]369 Community Food Income by in'!$C72=0,"",'[1]369 Community Food Income by in'!F72)</f>
        <v/>
      </c>
      <c r="G72" s="4" t="str">
        <f>IF('[1]369 Community Food Income by in'!$C72=0,"",'[1]369 Community Food Income by in'!G72)</f>
        <v/>
      </c>
      <c r="H72" s="4" t="str">
        <f>IF('[1]369 Community Food Income by in'!$C72=0,"",'[1]369 Community Food Income by in'!H72)</f>
        <v/>
      </c>
    </row>
    <row r="73" spans="1:8">
      <c r="A73" s="4"/>
      <c r="B73" s="4" t="str">
        <f>IF('[1]369 Community Food Income by in'!B73=0,"",'[1]369 Community Food Income by in'!B73)</f>
        <v/>
      </c>
      <c r="C73" s="4" t="str">
        <f>IF('[1]369 Community Food Income by in'!C73=0,"",'[1]369 Community Food Income by in'!C73)</f>
        <v/>
      </c>
      <c r="D73" s="4" t="str">
        <f>IF('[1]369 Community Food Income by in'!$C73=0,"",'[1]369 Community Food Income by in'!D73)</f>
        <v/>
      </c>
      <c r="E73" s="4" t="str">
        <f>IF('[1]369 Community Food Income by in'!$C73=0,"",'[1]369 Community Food Income by in'!E73)</f>
        <v/>
      </c>
      <c r="F73" s="4" t="str">
        <f>IF('[1]369 Community Food Income by in'!$C73=0,"",'[1]369 Community Food Income by in'!F73)</f>
        <v/>
      </c>
      <c r="G73" s="4" t="str">
        <f>IF('[1]369 Community Food Income by in'!$C73=0,"",'[1]369 Community Food Income by in'!G73)</f>
        <v/>
      </c>
      <c r="H73" s="4" t="str">
        <f>IF('[1]369 Community Food Income by in'!$C73=0,"",'[1]369 Community Food Income by in'!H73)</f>
        <v/>
      </c>
    </row>
    <row r="74" spans="1:8">
      <c r="A74" s="4"/>
      <c r="B74" s="4" t="str">
        <f>IF('[1]369 Community Food Income by in'!B74=0,"",'[1]369 Community Food Income by in'!B74)</f>
        <v/>
      </c>
      <c r="C74" s="4" t="str">
        <f>IF('[1]369 Community Food Income by in'!C74=0,"",'[1]369 Community Food Income by in'!C74)</f>
        <v/>
      </c>
      <c r="D74" s="4" t="str">
        <f>IF('[1]369 Community Food Income by in'!$C74=0,"",'[1]369 Community Food Income by in'!D74)</f>
        <v/>
      </c>
      <c r="E74" s="4" t="str">
        <f>IF('[1]369 Community Food Income by in'!$C74=0,"",'[1]369 Community Food Income by in'!E74)</f>
        <v/>
      </c>
      <c r="F74" s="4" t="str">
        <f>IF('[1]369 Community Food Income by in'!$C74=0,"",'[1]369 Community Food Income by in'!F74)</f>
        <v/>
      </c>
      <c r="G74" s="4" t="str">
        <f>IF('[1]369 Community Food Income by in'!$C74=0,"",'[1]369 Community Food Income by in'!G74)</f>
        <v/>
      </c>
      <c r="H74" s="4" t="str">
        <f>IF('[1]369 Community Food Income by in'!$C74=0,"",'[1]369 Community Food Income by in'!H74)</f>
        <v/>
      </c>
    </row>
    <row r="75" spans="1:8">
      <c r="A75" s="4"/>
      <c r="B75" s="4" t="str">
        <f>IF('[1]369 Community Food Income by in'!B75=0,"",'[1]369 Community Food Income by in'!B75)</f>
        <v/>
      </c>
      <c r="C75" s="4" t="str">
        <f>IF('[1]369 Community Food Income by in'!C75=0,"",'[1]369 Community Food Income by in'!C75)</f>
        <v/>
      </c>
      <c r="D75" s="4" t="str">
        <f>IF('[1]369 Community Food Income by in'!$C75=0,"",'[1]369 Community Food Income by in'!D75)</f>
        <v/>
      </c>
      <c r="E75" s="4" t="str">
        <f>IF('[1]369 Community Food Income by in'!$C75=0,"",'[1]369 Community Food Income by in'!E75)</f>
        <v/>
      </c>
      <c r="F75" s="4" t="str">
        <f>IF('[1]369 Community Food Income by in'!$C75=0,"",'[1]369 Community Food Income by in'!F75)</f>
        <v/>
      </c>
      <c r="G75" s="4" t="str">
        <f>IF('[1]369 Community Food Income by in'!$C75=0,"",'[1]369 Community Food Income by in'!G75)</f>
        <v/>
      </c>
      <c r="H75" s="4" t="str">
        <f>IF('[1]369 Community Food Income by in'!$C75=0,"",'[1]369 Community Food Income by in'!H75)</f>
        <v/>
      </c>
    </row>
    <row r="76" spans="1:8">
      <c r="A76" s="4"/>
      <c r="B76" s="4" t="str">
        <f>IF('[1]369 Community Food Income by in'!B76=0,"",'[1]369 Community Food Income by in'!B76)</f>
        <v/>
      </c>
      <c r="C76" s="4" t="str">
        <f>IF('[1]369 Community Food Income by in'!C76=0,"",'[1]369 Community Food Income by in'!C76)</f>
        <v/>
      </c>
      <c r="D76" s="4" t="str">
        <f>IF('[1]369 Community Food Income by in'!$C76=0,"",'[1]369 Community Food Income by in'!D76)</f>
        <v/>
      </c>
      <c r="E76" s="4" t="str">
        <f>IF('[1]369 Community Food Income by in'!$C76=0,"",'[1]369 Community Food Income by in'!E76)</f>
        <v/>
      </c>
      <c r="F76" s="4" t="str">
        <f>IF('[1]369 Community Food Income by in'!$C76=0,"",'[1]369 Community Food Income by in'!F76)</f>
        <v/>
      </c>
      <c r="G76" s="4" t="str">
        <f>IF('[1]369 Community Food Income by in'!$C76=0,"",'[1]369 Community Food Income by in'!G76)</f>
        <v/>
      </c>
      <c r="H76" s="4" t="str">
        <f>IF('[1]369 Community Food Income by in'!$C76=0,"",'[1]369 Community Food Income by in'!H76)</f>
        <v/>
      </c>
    </row>
    <row r="77" spans="1:8">
      <c r="A77" s="4"/>
      <c r="B77" s="4" t="str">
        <f>IF('[1]369 Community Food Income by in'!B77=0,"",'[1]369 Community Food Income by in'!B77)</f>
        <v/>
      </c>
      <c r="C77" s="4" t="str">
        <f>IF('[1]369 Community Food Income by in'!C77=0,"",'[1]369 Community Food Income by in'!C77)</f>
        <v/>
      </c>
      <c r="D77" s="4" t="str">
        <f>IF('[1]369 Community Food Income by in'!$C77=0,"",'[1]369 Community Food Income by in'!D77)</f>
        <v/>
      </c>
      <c r="E77" s="4" t="str">
        <f>IF('[1]369 Community Food Income by in'!$C77=0,"",'[1]369 Community Food Income by in'!E77)</f>
        <v/>
      </c>
      <c r="F77" s="4" t="str">
        <f>IF('[1]369 Community Food Income by in'!$C77=0,"",'[1]369 Community Food Income by in'!F77)</f>
        <v/>
      </c>
      <c r="G77" s="4" t="str">
        <f>IF('[1]369 Community Food Income by in'!$C77=0,"",'[1]369 Community Food Income by in'!G77)</f>
        <v/>
      </c>
      <c r="H77" s="4" t="str">
        <f>IF('[1]369 Community Food Income by in'!$C77=0,"",'[1]369 Community Food Income by in'!H77)</f>
        <v/>
      </c>
    </row>
    <row r="78" spans="1:8">
      <c r="A78" s="4"/>
      <c r="B78" s="4" t="str">
        <f>IF('[1]369 Community Food Income by in'!B78=0,"",'[1]369 Community Food Income by in'!B78)</f>
        <v/>
      </c>
      <c r="C78" s="4" t="str">
        <f>IF('[1]369 Community Food Income by in'!C78=0,"",'[1]369 Community Food Income by in'!C78)</f>
        <v/>
      </c>
      <c r="D78" s="4" t="str">
        <f>IF('[1]369 Community Food Income by in'!$C78=0,"",'[1]369 Community Food Income by in'!D78)</f>
        <v/>
      </c>
      <c r="E78" s="4" t="str">
        <f>IF('[1]369 Community Food Income by in'!$C78=0,"",'[1]369 Community Food Income by in'!E78)</f>
        <v/>
      </c>
      <c r="F78" s="4" t="str">
        <f>IF('[1]369 Community Food Income by in'!$C78=0,"",'[1]369 Community Food Income by in'!F78)</f>
        <v/>
      </c>
      <c r="G78" s="4" t="str">
        <f>IF('[1]369 Community Food Income by in'!$C78=0,"",'[1]369 Community Food Income by in'!G78)</f>
        <v/>
      </c>
      <c r="H78" s="4" t="str">
        <f>IF('[1]369 Community Food Income by in'!$C78=0,"",'[1]369 Community Food Income by in'!H78)</f>
        <v/>
      </c>
    </row>
    <row r="79" spans="1:8">
      <c r="A79" s="4"/>
      <c r="B79" s="4" t="str">
        <f>IF('[1]369 Community Food Income by in'!B79=0,"",'[1]369 Community Food Income by in'!B79)</f>
        <v/>
      </c>
      <c r="C79" s="4" t="str">
        <f>IF('[1]369 Community Food Income by in'!C79=0,"",'[1]369 Community Food Income by in'!C79)</f>
        <v/>
      </c>
      <c r="D79" s="4" t="str">
        <f>IF('[1]369 Community Food Income by in'!$C79=0,"",'[1]369 Community Food Income by in'!D79)</f>
        <v/>
      </c>
      <c r="E79" s="4" t="str">
        <f>IF('[1]369 Community Food Income by in'!$C79=0,"",'[1]369 Community Food Income by in'!E79)</f>
        <v/>
      </c>
      <c r="F79" s="4" t="str">
        <f>IF('[1]369 Community Food Income by in'!$C79=0,"",'[1]369 Community Food Income by in'!F79)</f>
        <v/>
      </c>
      <c r="G79" s="4" t="str">
        <f>IF('[1]369 Community Food Income by in'!$C79=0,"",'[1]369 Community Food Income by in'!G79)</f>
        <v/>
      </c>
      <c r="H79" s="4" t="str">
        <f>IF('[1]369 Community Food Income by in'!$C79=0,"",'[1]369 Community Food Income by in'!H79)</f>
        <v/>
      </c>
    </row>
    <row r="80" spans="1:8">
      <c r="A80" s="4"/>
      <c r="B80" s="4" t="str">
        <f>IF('[1]369 Community Food Income by in'!B80=0,"",'[1]369 Community Food Income by in'!B80)</f>
        <v/>
      </c>
      <c r="C80" s="4" t="str">
        <f>IF('[1]369 Community Food Income by in'!C80=0,"",'[1]369 Community Food Income by in'!C80)</f>
        <v/>
      </c>
      <c r="D80" s="4" t="str">
        <f>IF('[1]369 Community Food Income by in'!$C80=0,"",'[1]369 Community Food Income by in'!D80)</f>
        <v/>
      </c>
      <c r="E80" s="4" t="str">
        <f>IF('[1]369 Community Food Income by in'!$C80=0,"",'[1]369 Community Food Income by in'!E80)</f>
        <v/>
      </c>
      <c r="F80" s="4" t="str">
        <f>IF('[1]369 Community Food Income by in'!$C80=0,"",'[1]369 Community Food Income by in'!F80)</f>
        <v/>
      </c>
      <c r="G80" s="4" t="str">
        <f>IF('[1]369 Community Food Income by in'!$C80=0,"",'[1]369 Community Food Income by in'!G80)</f>
        <v/>
      </c>
      <c r="H80" s="4" t="str">
        <f>IF('[1]369 Community Food Income by in'!$C80=0,"",'[1]369 Community Food Income by in'!H80)</f>
        <v/>
      </c>
    </row>
    <row r="81" spans="1:8">
      <c r="A81" s="4"/>
      <c r="B81" s="4" t="str">
        <f>IF('[1]369 Community Food Income by in'!B81=0,"",'[1]369 Community Food Income by in'!B81)</f>
        <v/>
      </c>
      <c r="C81" s="4" t="str">
        <f>IF('[1]369 Community Food Income by in'!C81=0,"",'[1]369 Community Food Income by in'!C81)</f>
        <v/>
      </c>
      <c r="D81" s="4" t="str">
        <f>IF('[1]369 Community Food Income by in'!$C81=0,"",'[1]369 Community Food Income by in'!D81)</f>
        <v/>
      </c>
      <c r="E81" s="4" t="str">
        <f>IF('[1]369 Community Food Income by in'!$C81=0,"",'[1]369 Community Food Income by in'!E81)</f>
        <v/>
      </c>
      <c r="F81" s="4" t="str">
        <f>IF('[1]369 Community Food Income by in'!$C81=0,"",'[1]369 Community Food Income by in'!F81)</f>
        <v/>
      </c>
      <c r="G81" s="4" t="str">
        <f>IF('[1]369 Community Food Income by in'!$C81=0,"",'[1]369 Community Food Income by in'!G81)</f>
        <v/>
      </c>
      <c r="H81" s="4" t="str">
        <f>IF('[1]369 Community Food Income by in'!$C81=0,"",'[1]369 Community Food Income by in'!H81)</f>
        <v/>
      </c>
    </row>
    <row r="82" spans="1:8">
      <c r="A82" s="4"/>
      <c r="B82" s="4" t="str">
        <f>IF('[1]369 Community Food Income by in'!B82=0,"",'[1]369 Community Food Income by in'!B82)</f>
        <v/>
      </c>
      <c r="C82" s="4" t="str">
        <f>IF('[1]369 Community Food Income by in'!C82=0,"",'[1]369 Community Food Income by in'!C82)</f>
        <v/>
      </c>
      <c r="D82" s="4" t="str">
        <f>IF('[1]369 Community Food Income by in'!$C82=0,"",'[1]369 Community Food Income by in'!D82)</f>
        <v/>
      </c>
      <c r="E82" s="4" t="str">
        <f>IF('[1]369 Community Food Income by in'!$C82=0,"",'[1]369 Community Food Income by in'!E82)</f>
        <v/>
      </c>
      <c r="F82" s="4" t="str">
        <f>IF('[1]369 Community Food Income by in'!$C82=0,"",'[1]369 Community Food Income by in'!F82)</f>
        <v/>
      </c>
      <c r="G82" s="4" t="str">
        <f>IF('[1]369 Community Food Income by in'!$C82=0,"",'[1]369 Community Food Income by in'!G82)</f>
        <v/>
      </c>
      <c r="H82" s="4" t="str">
        <f>IF('[1]369 Community Food Income by in'!$C82=0,"",'[1]369 Community Food Income by in'!H82)</f>
        <v/>
      </c>
    </row>
    <row r="83" spans="1:8">
      <c r="A83" s="4"/>
      <c r="B83" s="4" t="str">
        <f>IF('[1]369 Community Food Income by in'!B83=0,"",'[1]369 Community Food Income by in'!B83)</f>
        <v/>
      </c>
      <c r="C83" s="4" t="str">
        <f>IF('[1]369 Community Food Income by in'!C83=0,"",'[1]369 Community Food Income by in'!C83)</f>
        <v/>
      </c>
      <c r="D83" s="4" t="str">
        <f>IF('[1]369 Community Food Income by in'!$C83=0,"",'[1]369 Community Food Income by in'!D83)</f>
        <v/>
      </c>
      <c r="E83" s="4" t="str">
        <f>IF('[1]369 Community Food Income by in'!$C83=0,"",'[1]369 Community Food Income by in'!E83)</f>
        <v/>
      </c>
      <c r="F83" s="4" t="str">
        <f>IF('[1]369 Community Food Income by in'!$C83=0,"",'[1]369 Community Food Income by in'!F83)</f>
        <v/>
      </c>
      <c r="G83" s="4" t="str">
        <f>IF('[1]369 Community Food Income by in'!$C83=0,"",'[1]369 Community Food Income by in'!G83)</f>
        <v/>
      </c>
      <c r="H83" s="4" t="str">
        <f>IF('[1]369 Community Food Income by in'!$C83=0,"",'[1]369 Community Food Income by in'!H83)</f>
        <v/>
      </c>
    </row>
    <row r="84" spans="1:8">
      <c r="A84" s="4"/>
      <c r="B84" s="4" t="str">
        <f>IF('[1]369 Community Food Income by in'!B84=0,"",'[1]369 Community Food Income by in'!B84)</f>
        <v/>
      </c>
      <c r="C84" s="4" t="str">
        <f>IF('[1]369 Community Food Income by in'!C84=0,"",'[1]369 Community Food Income by in'!C84)</f>
        <v/>
      </c>
      <c r="D84" s="4" t="str">
        <f>IF('[1]369 Community Food Income by in'!$C84=0,"",'[1]369 Community Food Income by in'!D84)</f>
        <v/>
      </c>
      <c r="E84" s="4" t="str">
        <f>IF('[1]369 Community Food Income by in'!$C84=0,"",'[1]369 Community Food Income by in'!E84)</f>
        <v/>
      </c>
      <c r="F84" s="4" t="str">
        <f>IF('[1]369 Community Food Income by in'!$C84=0,"",'[1]369 Community Food Income by in'!F84)</f>
        <v/>
      </c>
      <c r="G84" s="4" t="str">
        <f>IF('[1]369 Community Food Income by in'!$C84=0,"",'[1]369 Community Food Income by in'!G84)</f>
        <v/>
      </c>
      <c r="H84" s="4" t="str">
        <f>IF('[1]369 Community Food Income by in'!$C84=0,"",'[1]369 Community Food Income by in'!H84)</f>
        <v/>
      </c>
    </row>
    <row r="85" spans="1:8">
      <c r="A85" s="4"/>
      <c r="B85" s="4" t="str">
        <f>IF('[1]369 Community Food Income by in'!B85=0,"",'[1]369 Community Food Income by in'!B85)</f>
        <v/>
      </c>
      <c r="C85" s="4" t="str">
        <f>IF('[1]369 Community Food Income by in'!C85=0,"",'[1]369 Community Food Income by in'!C85)</f>
        <v/>
      </c>
      <c r="D85" s="4" t="str">
        <f>IF('[1]369 Community Food Income by in'!$C85=0,"",'[1]369 Community Food Income by in'!D85)</f>
        <v/>
      </c>
      <c r="E85" s="4" t="str">
        <f>IF('[1]369 Community Food Income by in'!$C85=0,"",'[1]369 Community Food Income by in'!E85)</f>
        <v/>
      </c>
      <c r="F85" s="4" t="str">
        <f>IF('[1]369 Community Food Income by in'!$C85=0,"",'[1]369 Community Food Income by in'!F85)</f>
        <v/>
      </c>
      <c r="G85" s="4" t="str">
        <f>IF('[1]369 Community Food Income by in'!$C85=0,"",'[1]369 Community Food Income by in'!G85)</f>
        <v/>
      </c>
      <c r="H85" s="4" t="str">
        <f>IF('[1]369 Community Food Income by in'!$C85=0,"",'[1]369 Community Food Income by in'!H85)</f>
        <v/>
      </c>
    </row>
    <row r="86" spans="1:8">
      <c r="A86" s="4"/>
      <c r="B86" s="4" t="str">
        <f>IF('[1]369 Community Food Income by in'!B86=0,"",'[1]369 Community Food Income by in'!B86)</f>
        <v/>
      </c>
      <c r="C86" s="4" t="str">
        <f>IF('[1]369 Community Food Income by in'!C86=0,"",'[1]369 Community Food Income by in'!C86)</f>
        <v/>
      </c>
      <c r="D86" s="4" t="str">
        <f>IF('[1]369 Community Food Income by in'!$C86=0,"",'[1]369 Community Food Income by in'!D86)</f>
        <v/>
      </c>
      <c r="E86" s="4" t="str">
        <f>IF('[1]369 Community Food Income by in'!$C86=0,"",'[1]369 Community Food Income by in'!E86)</f>
        <v/>
      </c>
      <c r="F86" s="4" t="str">
        <f>IF('[1]369 Community Food Income by in'!$C86=0,"",'[1]369 Community Food Income by in'!F86)</f>
        <v/>
      </c>
      <c r="G86" s="4" t="str">
        <f>IF('[1]369 Community Food Income by in'!$C86=0,"",'[1]369 Community Food Income by in'!G86)</f>
        <v/>
      </c>
      <c r="H86" s="4" t="str">
        <f>IF('[1]369 Community Food Income by in'!$C86=0,"",'[1]369 Community Food Income by in'!H86)</f>
        <v/>
      </c>
    </row>
    <row r="87" spans="1:8">
      <c r="A87" s="4"/>
      <c r="B87" s="4" t="str">
        <f>IF('[1]369 Community Food Income by in'!B87=0,"",'[1]369 Community Food Income by in'!B87)</f>
        <v/>
      </c>
      <c r="C87" s="4" t="str">
        <f>IF('[1]369 Community Food Income by in'!C87=0,"",'[1]369 Community Food Income by in'!C87)</f>
        <v/>
      </c>
      <c r="D87" s="4" t="str">
        <f>IF('[1]369 Community Food Income by in'!$C87=0,"",'[1]369 Community Food Income by in'!D87)</f>
        <v/>
      </c>
      <c r="E87" s="4" t="str">
        <f>IF('[1]369 Community Food Income by in'!$C87=0,"",'[1]369 Community Food Income by in'!E87)</f>
        <v/>
      </c>
      <c r="F87" s="4" t="str">
        <f>IF('[1]369 Community Food Income by in'!$C87=0,"",'[1]369 Community Food Income by in'!F87)</f>
        <v/>
      </c>
      <c r="G87" s="4" t="str">
        <f>IF('[1]369 Community Food Income by in'!$C87=0,"",'[1]369 Community Food Income by in'!G87)</f>
        <v/>
      </c>
      <c r="H87" s="4" t="str">
        <f>IF('[1]369 Community Food Income by in'!$C87=0,"",'[1]369 Community Food Income by in'!H87)</f>
        <v/>
      </c>
    </row>
    <row r="88" spans="1:8">
      <c r="A88" s="4"/>
      <c r="B88" s="4" t="str">
        <f>IF('[1]369 Community Food Income by in'!B88=0,"",'[1]369 Community Food Income by in'!B88)</f>
        <v/>
      </c>
      <c r="C88" s="4" t="str">
        <f>IF('[1]369 Community Food Income by in'!C88=0,"",'[1]369 Community Food Income by in'!C88)</f>
        <v/>
      </c>
      <c r="D88" s="4" t="str">
        <f>IF('[1]369 Community Food Income by in'!$C88=0,"",'[1]369 Community Food Income by in'!D88)</f>
        <v/>
      </c>
      <c r="E88" s="4" t="str">
        <f>IF('[1]369 Community Food Income by in'!$C88=0,"",'[1]369 Community Food Income by in'!E88)</f>
        <v/>
      </c>
      <c r="F88" s="4" t="str">
        <f>IF('[1]369 Community Food Income by in'!$C88=0,"",'[1]369 Community Food Income by in'!F88)</f>
        <v/>
      </c>
      <c r="G88" s="4" t="str">
        <f>IF('[1]369 Community Food Income by in'!$C88=0,"",'[1]369 Community Food Income by in'!G88)</f>
        <v/>
      </c>
      <c r="H88" s="4" t="str">
        <f>IF('[1]369 Community Food Income by in'!$C88=0,"",'[1]369 Community Food Income by in'!H88)</f>
        <v/>
      </c>
    </row>
    <row r="89" spans="1:8">
      <c r="A89" s="4"/>
      <c r="B89" s="4" t="str">
        <f>IF('[1]369 Community Food Income by in'!B89=0,"",'[1]369 Community Food Income by in'!B89)</f>
        <v/>
      </c>
      <c r="C89" s="4" t="str">
        <f>IF('[1]369 Community Food Income by in'!C89=0,"",'[1]369 Community Food Income by in'!C89)</f>
        <v/>
      </c>
      <c r="D89" s="4" t="str">
        <f>IF('[1]369 Community Food Income by in'!$C89=0,"",'[1]369 Community Food Income by in'!D89)</f>
        <v/>
      </c>
      <c r="E89" s="4" t="str">
        <f>IF('[1]369 Community Food Income by in'!$C89=0,"",'[1]369 Community Food Income by in'!E89)</f>
        <v/>
      </c>
      <c r="F89" s="4" t="str">
        <f>IF('[1]369 Community Food Income by in'!$C89=0,"",'[1]369 Community Food Income by in'!F89)</f>
        <v/>
      </c>
      <c r="G89" s="4" t="str">
        <f>IF('[1]369 Community Food Income by in'!$C89=0,"",'[1]369 Community Food Income by in'!G89)</f>
        <v/>
      </c>
      <c r="H89" s="4" t="str">
        <f>IF('[1]369 Community Food Income by in'!$C89=0,"",'[1]369 Community Food Income by in'!H89)</f>
        <v/>
      </c>
    </row>
    <row r="90" spans="1:8">
      <c r="A90" s="4"/>
      <c r="B90" s="4" t="str">
        <f>IF('[1]369 Community Food Income by in'!B90=0,"",'[1]369 Community Food Income by in'!B90)</f>
        <v/>
      </c>
      <c r="C90" s="4" t="str">
        <f>IF('[1]369 Community Food Income by in'!C90=0,"",'[1]369 Community Food Income by in'!C90)</f>
        <v/>
      </c>
      <c r="D90" s="4" t="str">
        <f>IF('[1]369 Community Food Income by in'!$C90=0,"",'[1]369 Community Food Income by in'!D90)</f>
        <v/>
      </c>
      <c r="E90" s="4" t="str">
        <f>IF('[1]369 Community Food Income by in'!$C90=0,"",'[1]369 Community Food Income by in'!E90)</f>
        <v/>
      </c>
      <c r="F90" s="4" t="str">
        <f>IF('[1]369 Community Food Income by in'!$C90=0,"",'[1]369 Community Food Income by in'!F90)</f>
        <v/>
      </c>
      <c r="G90" s="4" t="str">
        <f>IF('[1]369 Community Food Income by in'!$C90=0,"",'[1]369 Community Food Income by in'!G90)</f>
        <v/>
      </c>
      <c r="H90" s="4" t="str">
        <f>IF('[1]369 Community Food Income by in'!$C90=0,"",'[1]369 Community Food Income by in'!H90)</f>
        <v/>
      </c>
    </row>
    <row r="91" spans="1:8">
      <c r="A91" s="4"/>
      <c r="B91" s="4" t="str">
        <f>IF('[1]369 Community Food Income by in'!B91=0,"",'[1]369 Community Food Income by in'!B91)</f>
        <v/>
      </c>
      <c r="C91" s="4" t="str">
        <f>IF('[1]369 Community Food Income by in'!C91=0,"",'[1]369 Community Food Income by in'!C91)</f>
        <v/>
      </c>
      <c r="D91" s="4" t="str">
        <f>IF('[1]369 Community Food Income by in'!$C91=0,"",'[1]369 Community Food Income by in'!D91)</f>
        <v/>
      </c>
      <c r="E91" s="4" t="str">
        <f>IF('[1]369 Community Food Income by in'!$C91=0,"",'[1]369 Community Food Income by in'!E91)</f>
        <v/>
      </c>
      <c r="F91" s="4" t="str">
        <f>IF('[1]369 Community Food Income by in'!$C91=0,"",'[1]369 Community Food Income by in'!F91)</f>
        <v/>
      </c>
      <c r="G91" s="4" t="str">
        <f>IF('[1]369 Community Food Income by in'!$C91=0,"",'[1]369 Community Food Income by in'!G91)</f>
        <v/>
      </c>
      <c r="H91" s="4" t="str">
        <f>IF('[1]369 Community Food Income by in'!$C91=0,"",'[1]369 Community Food Income by in'!H91)</f>
        <v/>
      </c>
    </row>
    <row r="92" spans="1:8">
      <c r="A92" s="4"/>
      <c r="B92" s="4" t="str">
        <f>IF('[1]369 Community Food Income by in'!B92=0,"",'[1]369 Community Food Income by in'!B92)</f>
        <v/>
      </c>
      <c r="C92" s="4" t="str">
        <f>IF('[1]369 Community Food Income by in'!C92=0,"",'[1]369 Community Food Income by in'!C92)</f>
        <v/>
      </c>
      <c r="D92" s="4" t="str">
        <f>IF('[1]369 Community Food Income by in'!$C92=0,"",'[1]369 Community Food Income by in'!D92)</f>
        <v/>
      </c>
      <c r="E92" s="4" t="str">
        <f>IF('[1]369 Community Food Income by in'!$C92=0,"",'[1]369 Community Food Income by in'!E92)</f>
        <v/>
      </c>
      <c r="F92" s="4" t="str">
        <f>IF('[1]369 Community Food Income by in'!$C92=0,"",'[1]369 Community Food Income by in'!F92)</f>
        <v/>
      </c>
      <c r="G92" s="4" t="str">
        <f>IF('[1]369 Community Food Income by in'!$C92=0,"",'[1]369 Community Food Income by in'!G92)</f>
        <v/>
      </c>
      <c r="H92" s="4" t="str">
        <f>IF('[1]369 Community Food Income by in'!$C92=0,"",'[1]369 Community Food Income by in'!H92)</f>
        <v/>
      </c>
    </row>
    <row r="93" spans="1:8">
      <c r="A93" s="4"/>
      <c r="B93" s="4" t="str">
        <f>IF('[1]369 Community Food Income by in'!B93=0,"",'[1]369 Community Food Income by in'!B93)</f>
        <v/>
      </c>
      <c r="C93" s="4" t="str">
        <f>IF('[1]369 Community Food Income by in'!C93=0,"",'[1]369 Community Food Income by in'!C93)</f>
        <v/>
      </c>
      <c r="D93" s="4" t="str">
        <f>IF('[1]369 Community Food Income by in'!$C93=0,"",'[1]369 Community Food Income by in'!D93)</f>
        <v/>
      </c>
      <c r="E93" s="4" t="str">
        <f>IF('[1]369 Community Food Income by in'!$C93=0,"",'[1]369 Community Food Income by in'!E93)</f>
        <v/>
      </c>
      <c r="F93" s="4" t="str">
        <f>IF('[1]369 Community Food Income by in'!$C93=0,"",'[1]369 Community Food Income by in'!F93)</f>
        <v/>
      </c>
      <c r="G93" s="4" t="str">
        <f>IF('[1]369 Community Food Income by in'!$C93=0,"",'[1]369 Community Food Income by in'!G93)</f>
        <v/>
      </c>
      <c r="H93" s="4" t="str">
        <f>IF('[1]369 Community Food Income by in'!$C93=0,"",'[1]369 Community Food Income by in'!H93)</f>
        <v/>
      </c>
    </row>
    <row r="94" spans="1:8">
      <c r="A94" s="4"/>
      <c r="B94" s="4" t="str">
        <f>IF('[1]369 Community Food Income by in'!B94=0,"",'[1]369 Community Food Income by in'!B94)</f>
        <v/>
      </c>
      <c r="C94" s="4" t="str">
        <f>IF('[1]369 Community Food Income by in'!C94=0,"",'[1]369 Community Food Income by in'!C94)</f>
        <v/>
      </c>
      <c r="D94" s="4" t="str">
        <f>IF('[1]369 Community Food Income by in'!$C94=0,"",'[1]369 Community Food Income by in'!D94)</f>
        <v/>
      </c>
      <c r="E94" s="4" t="str">
        <f>IF('[1]369 Community Food Income by in'!$C94=0,"",'[1]369 Community Food Income by in'!E94)</f>
        <v/>
      </c>
      <c r="F94" s="4" t="str">
        <f>IF('[1]369 Community Food Income by in'!$C94=0,"",'[1]369 Community Food Income by in'!F94)</f>
        <v/>
      </c>
      <c r="G94" s="4" t="str">
        <f>IF('[1]369 Community Food Income by in'!$C94=0,"",'[1]369 Community Food Income by in'!G94)</f>
        <v/>
      </c>
      <c r="H94" s="4" t="str">
        <f>IF('[1]369 Community Food Income by in'!$C94=0,"",'[1]369 Community Food Income by in'!H94)</f>
        <v/>
      </c>
    </row>
    <row r="95" spans="1:8">
      <c r="A95" s="4"/>
      <c r="B95" s="4" t="str">
        <f>IF('[1]369 Community Food Income by in'!B95=0,"",'[1]369 Community Food Income by in'!B95)</f>
        <v/>
      </c>
      <c r="C95" s="4" t="str">
        <f>IF('[1]369 Community Food Income by in'!C95=0,"",'[1]369 Community Food Income by in'!C95)</f>
        <v/>
      </c>
      <c r="D95" s="4" t="str">
        <f>IF('[1]369 Community Food Income by in'!$C95=0,"",'[1]369 Community Food Income by in'!D95)</f>
        <v/>
      </c>
      <c r="E95" s="4" t="str">
        <f>IF('[1]369 Community Food Income by in'!$C95=0,"",'[1]369 Community Food Income by in'!E95)</f>
        <v/>
      </c>
      <c r="F95" s="4" t="str">
        <f>IF('[1]369 Community Food Income by in'!$C95=0,"",'[1]369 Community Food Income by in'!F95)</f>
        <v/>
      </c>
      <c r="G95" s="4" t="str">
        <f>IF('[1]369 Community Food Income by in'!$C95=0,"",'[1]369 Community Food Income by in'!G95)</f>
        <v/>
      </c>
      <c r="H95" s="4" t="str">
        <f>IF('[1]369 Community Food Income by in'!$C95=0,"",'[1]369 Community Food Income by in'!H95)</f>
        <v/>
      </c>
    </row>
    <row r="96" spans="1:8">
      <c r="A96" s="4"/>
      <c r="B96" s="4" t="str">
        <f>IF('[1]369 Community Food Income by in'!B96=0,"",'[1]369 Community Food Income by in'!B96)</f>
        <v/>
      </c>
      <c r="C96" s="4" t="str">
        <f>IF('[1]369 Community Food Income by in'!C96=0,"",'[1]369 Community Food Income by in'!C96)</f>
        <v/>
      </c>
      <c r="D96" s="4" t="str">
        <f>IF('[1]369 Community Food Income by in'!$C96=0,"",'[1]369 Community Food Income by in'!D96)</f>
        <v/>
      </c>
      <c r="E96" s="4" t="str">
        <f>IF('[1]369 Community Food Income by in'!$C96=0,"",'[1]369 Community Food Income by in'!E96)</f>
        <v/>
      </c>
      <c r="F96" s="4" t="str">
        <f>IF('[1]369 Community Food Income by in'!$C96=0,"",'[1]369 Community Food Income by in'!F96)</f>
        <v/>
      </c>
      <c r="G96" s="4" t="str">
        <f>IF('[1]369 Community Food Income by in'!$C96=0,"",'[1]369 Community Food Income by in'!G96)</f>
        <v/>
      </c>
      <c r="H96" s="4" t="str">
        <f>IF('[1]369 Community Food Income by in'!$C96=0,"",'[1]369 Community Food Income by in'!H96)</f>
        <v/>
      </c>
    </row>
    <row r="97" spans="1:8">
      <c r="A97" s="4"/>
      <c r="B97" s="4" t="str">
        <f>IF('[1]369 Community Food Income by in'!B97=0,"",'[1]369 Community Food Income by in'!B97)</f>
        <v/>
      </c>
      <c r="C97" s="4" t="str">
        <f>IF('[1]369 Community Food Income by in'!C97=0,"",'[1]369 Community Food Income by in'!C97)</f>
        <v/>
      </c>
      <c r="D97" s="4" t="str">
        <f>IF('[1]369 Community Food Income by in'!$C97=0,"",'[1]369 Community Food Income by in'!D97)</f>
        <v/>
      </c>
      <c r="E97" s="4" t="str">
        <f>IF('[1]369 Community Food Income by in'!$C97=0,"",'[1]369 Community Food Income by in'!E97)</f>
        <v/>
      </c>
      <c r="F97" s="4" t="str">
        <f>IF('[1]369 Community Food Income by in'!$C97=0,"",'[1]369 Community Food Income by in'!F97)</f>
        <v/>
      </c>
      <c r="G97" s="4" t="str">
        <f>IF('[1]369 Community Food Income by in'!$C97=0,"",'[1]369 Community Food Income by in'!G97)</f>
        <v/>
      </c>
      <c r="H97" s="4" t="str">
        <f>IF('[1]369 Community Food Income by in'!$C97=0,"",'[1]369 Community Food Income by in'!H97)</f>
        <v/>
      </c>
    </row>
    <row r="98" spans="1:8">
      <c r="A98" s="4"/>
      <c r="B98" s="4" t="str">
        <f>IF('[1]369 Community Food Income by in'!B98=0,"",'[1]369 Community Food Income by in'!B98)</f>
        <v/>
      </c>
      <c r="C98" s="4" t="str">
        <f>IF('[1]369 Community Food Income by in'!C98=0,"",'[1]369 Community Food Income by in'!C98)</f>
        <v/>
      </c>
      <c r="D98" s="4" t="str">
        <f>IF('[1]369 Community Food Income by in'!$C98=0,"",'[1]369 Community Food Income by in'!D98)</f>
        <v/>
      </c>
      <c r="E98" s="4" t="str">
        <f>IF('[1]369 Community Food Income by in'!$C98=0,"",'[1]369 Community Food Income by in'!E98)</f>
        <v/>
      </c>
      <c r="F98" s="4" t="str">
        <f>IF('[1]369 Community Food Income by in'!$C98=0,"",'[1]369 Community Food Income by in'!F98)</f>
        <v/>
      </c>
      <c r="G98" s="4" t="str">
        <f>IF('[1]369 Community Food Income by in'!$C98=0,"",'[1]369 Community Food Income by in'!G98)</f>
        <v/>
      </c>
      <c r="H98" s="4" t="str">
        <f>IF('[1]369 Community Food Income by in'!$C98=0,"",'[1]369 Community Food Income by in'!H98)</f>
        <v/>
      </c>
    </row>
    <row r="99" spans="1:8">
      <c r="A99" s="4"/>
      <c r="B99" s="4" t="str">
        <f>IF('[1]369 Community Food Income by in'!B99=0,"",'[1]369 Community Food Income by in'!B99)</f>
        <v/>
      </c>
      <c r="C99" s="4" t="str">
        <f>IF('[1]369 Community Food Income by in'!C99=0,"",'[1]369 Community Food Income by in'!C99)</f>
        <v/>
      </c>
      <c r="D99" s="4" t="str">
        <f>IF('[1]369 Community Food Income by in'!$C99=0,"",'[1]369 Community Food Income by in'!D99)</f>
        <v/>
      </c>
      <c r="E99" s="4" t="str">
        <f>IF('[1]369 Community Food Income by in'!$C99=0,"",'[1]369 Community Food Income by in'!E99)</f>
        <v/>
      </c>
      <c r="F99" s="4" t="str">
        <f>IF('[1]369 Community Food Income by in'!$C99=0,"",'[1]369 Community Food Income by in'!F99)</f>
        <v/>
      </c>
      <c r="G99" s="4" t="str">
        <f>IF('[1]369 Community Food Income by in'!$C99=0,"",'[1]369 Community Food Income by in'!G99)</f>
        <v/>
      </c>
      <c r="H99" s="4" t="str">
        <f>IF('[1]369 Community Food Income by in'!$C99=0,"",'[1]369 Community Food Income by in'!H99)</f>
        <v/>
      </c>
    </row>
    <row r="100" spans="1:8">
      <c r="A100" s="4"/>
      <c r="B100" s="4"/>
      <c r="C100" s="4"/>
      <c r="D100" s="4"/>
      <c r="E100" s="4"/>
      <c r="F100" s="4"/>
      <c r="G100" s="4"/>
    </row>
    <row r="101" spans="1:8">
      <c r="A101" s="4"/>
      <c r="B101" s="4"/>
      <c r="C101" s="4"/>
      <c r="D101" s="4"/>
      <c r="E101" s="4"/>
      <c r="F101" s="4"/>
      <c r="G101" s="4"/>
    </row>
    <row r="102" spans="1:8">
      <c r="A102" s="4"/>
      <c r="B102" s="4"/>
      <c r="C102" s="4"/>
      <c r="D102" s="4"/>
      <c r="E102" s="4"/>
      <c r="F102" s="4"/>
      <c r="G102" s="4"/>
    </row>
    <row r="103" spans="1:8">
      <c r="A103" s="4"/>
      <c r="B103" s="4"/>
      <c r="C103" s="4"/>
      <c r="D103" s="4"/>
      <c r="E103" s="4"/>
      <c r="F103" s="4"/>
      <c r="G103" s="4"/>
    </row>
    <row r="104" spans="1:8">
      <c r="A104" s="4"/>
      <c r="B104" s="4"/>
      <c r="C104" s="4"/>
      <c r="D104" s="4"/>
      <c r="E104" s="4"/>
      <c r="F104" s="4"/>
      <c r="G104" s="4"/>
    </row>
    <row r="105" spans="1:8">
      <c r="A105" s="4"/>
      <c r="B105" s="4"/>
      <c r="C105" s="4"/>
      <c r="D105" s="4"/>
      <c r="E105" s="4"/>
      <c r="F105" s="4"/>
      <c r="G105" s="4"/>
    </row>
    <row r="106" spans="1:8">
      <c r="A106" s="4"/>
      <c r="B106" s="4"/>
      <c r="C106" s="4"/>
      <c r="D106" s="4"/>
      <c r="E106" s="4"/>
      <c r="F106" s="4"/>
      <c r="G106" s="4"/>
    </row>
    <row r="107" spans="1:8">
      <c r="A107" s="4"/>
      <c r="B107" s="4"/>
      <c r="C107" s="4"/>
      <c r="D107" s="4"/>
      <c r="E107" s="4"/>
      <c r="F107" s="4"/>
      <c r="G107" s="4"/>
    </row>
    <row r="108" spans="1:8">
      <c r="A108" s="4"/>
      <c r="B108" s="4"/>
      <c r="C108" s="4"/>
      <c r="D108" s="4"/>
      <c r="E108" s="4"/>
      <c r="F108" s="4"/>
      <c r="G108" s="4"/>
    </row>
    <row r="109" spans="1:8">
      <c r="A109" s="4"/>
      <c r="B109" s="4"/>
      <c r="C109" s="4"/>
      <c r="D109" s="4"/>
      <c r="E109" s="4"/>
      <c r="F109" s="4"/>
      <c r="G109" s="4"/>
    </row>
    <row r="110" spans="1:8">
      <c r="A110" s="4"/>
      <c r="B110" s="4"/>
      <c r="C110" s="4"/>
      <c r="D110" s="4"/>
      <c r="E110" s="4"/>
      <c r="F110" s="4"/>
      <c r="G110" s="4"/>
    </row>
    <row r="111" spans="1:8">
      <c r="A111" s="4"/>
      <c r="B111" s="4"/>
      <c r="C111" s="4"/>
      <c r="D111" s="4"/>
      <c r="E111" s="4"/>
      <c r="F111" s="4"/>
      <c r="G111" s="4"/>
    </row>
    <row r="112" spans="1:8">
      <c r="A112" s="4"/>
      <c r="B112" s="4"/>
      <c r="C112" s="4"/>
      <c r="D112" s="4"/>
      <c r="E112" s="4"/>
      <c r="F112" s="4"/>
      <c r="G112" s="4"/>
    </row>
    <row r="113" spans="1:7">
      <c r="A113" s="4"/>
      <c r="B113" s="4"/>
      <c r="C113" s="4"/>
      <c r="D113" s="4"/>
      <c r="E113" s="4"/>
      <c r="F113" s="4"/>
      <c r="G113" s="4"/>
    </row>
    <row r="114" spans="1:7">
      <c r="A114" s="4"/>
      <c r="B114" s="4"/>
      <c r="C114" s="4"/>
      <c r="D114" s="4"/>
      <c r="E114" s="4"/>
      <c r="F114" s="4"/>
      <c r="G114" s="4"/>
    </row>
    <row r="115" spans="1:7">
      <c r="A115" s="4"/>
      <c r="B115" s="4"/>
      <c r="C115" s="4"/>
      <c r="D115" s="4"/>
      <c r="E115" s="4"/>
      <c r="F115" s="4"/>
      <c r="G115" s="4"/>
    </row>
    <row r="116" spans="1:7">
      <c r="A116" s="4"/>
      <c r="B116" s="4"/>
      <c r="C116" s="4"/>
      <c r="D116" s="4"/>
      <c r="E116" s="4"/>
      <c r="F116" s="4"/>
      <c r="G116" s="4"/>
    </row>
    <row r="117" spans="1:7">
      <c r="A117" s="4"/>
      <c r="B117" s="4"/>
      <c r="C117" s="4"/>
      <c r="D117" s="4"/>
      <c r="E117" s="4"/>
      <c r="F117" s="4"/>
      <c r="G117" s="4"/>
    </row>
    <row r="118" spans="1:7">
      <c r="A118" s="4"/>
      <c r="B118" s="4"/>
      <c r="C118" s="4"/>
      <c r="D118" s="4"/>
      <c r="E118" s="4"/>
      <c r="F118" s="4"/>
      <c r="G118" s="4"/>
    </row>
    <row r="119" spans="1:7">
      <c r="A119" s="4"/>
      <c r="B119" s="4"/>
      <c r="C119" s="4"/>
      <c r="D119" s="4"/>
      <c r="E119" s="4"/>
      <c r="F119" s="4"/>
      <c r="G119" s="4"/>
    </row>
    <row r="120" spans="1:7">
      <c r="A120" s="4"/>
      <c r="B120" s="4"/>
      <c r="C120" s="4"/>
      <c r="D120" s="4"/>
      <c r="E120" s="4"/>
      <c r="F120" s="4"/>
      <c r="G120" s="4"/>
    </row>
    <row r="121" spans="1:7">
      <c r="A121" s="4"/>
      <c r="B121" s="4"/>
      <c r="C121" s="4"/>
      <c r="D121" s="4"/>
      <c r="E121" s="4"/>
      <c r="F121" s="4"/>
      <c r="G121" s="4"/>
    </row>
    <row r="122" spans="1:7">
      <c r="A122" s="4"/>
      <c r="B122" s="4"/>
      <c r="C122" s="4"/>
      <c r="D122" s="4"/>
      <c r="E122" s="4"/>
      <c r="F122" s="4"/>
      <c r="G122" s="4"/>
    </row>
    <row r="123" spans="1:7">
      <c r="A123" s="4"/>
      <c r="B123" s="4"/>
      <c r="C123" s="4"/>
      <c r="D123" s="4"/>
      <c r="E123" s="4"/>
      <c r="F123" s="4"/>
      <c r="G123" s="4"/>
    </row>
    <row r="124" spans="1:7">
      <c r="A124" s="4"/>
      <c r="B124" s="4"/>
      <c r="C124" s="4"/>
      <c r="D124" s="4"/>
      <c r="E124" s="4"/>
      <c r="F124" s="4"/>
      <c r="G124" s="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BFC1D-BA93-BA4B-849D-F1775A13D521}">
  <sheetPr codeName="Sheet10"/>
  <dimension ref="A1"/>
  <sheetViews>
    <sheetView showGridLines="0" showRowColHeaders="0" zoomScaleNormal="100" workbookViewId="0">
      <selection activeCell="A2" sqref="A2"/>
    </sheetView>
  </sheetViews>
  <sheetFormatPr baseColWidth="10" defaultRowHeight="16"/>
  <sheetData/>
  <pageMargins left="0.7" right="0.7" top="0.75" bottom="0.75" header="0.3" footer="0.3"/>
  <pageSetup paperSize="9"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36137-4A0F-1046-B0EE-1C21C582C4F1}">
  <sheetPr codeName="Sheet9"/>
  <dimension ref="A1:BA120"/>
  <sheetViews>
    <sheetView showGridLines="0" showRowColHeaders="0" topLeftCell="A101" workbookViewId="0">
      <selection activeCell="A100" sqref="A1:XFD100"/>
    </sheetView>
  </sheetViews>
  <sheetFormatPr baseColWidth="10" defaultRowHeight="16"/>
  <cols>
    <col min="1" max="1" width="47.83203125" style="52" customWidth="1"/>
    <col min="2" max="2" width="22.83203125" style="42" customWidth="1"/>
    <col min="3" max="3" width="14.1640625" style="42" customWidth="1"/>
    <col min="4" max="4" width="47.83203125" style="42" customWidth="1"/>
    <col min="5" max="27" width="14.1640625" style="44" customWidth="1"/>
    <col min="28" max="53" width="9.5" customWidth="1"/>
  </cols>
  <sheetData>
    <row r="1" spans="1:53" s="40" customFormat="1" ht="18" hidden="1" customHeight="1">
      <c r="A1" s="51" t="s">
        <v>26</v>
      </c>
      <c r="B1" s="41" t="str">
        <f>IF('[1]370 Community Land Assets in or'!B4="","",'[1]370 Community Land Assets in or'!B4)</f>
        <v>Community</v>
      </c>
      <c r="C1" s="41" t="str">
        <f>IF('[1]370 Community Land Assets in or'!C4="","",'[1]370 Community Land Assets in or'!C4)</f>
        <v>Wealthgroup</v>
      </c>
      <c r="E1" s="41" t="str">
        <f>IF('[1]370 Community Land Assets in or'!D4=""," ",'[1]370 Community Land Assets in or'!D4)</f>
        <v>Upland</v>
      </c>
      <c r="F1" s="41" t="str">
        <f>IF('[1]370 Community Land Assets in or'!E4=""," ",'[1]370 Community Land Assets in or'!E4)</f>
        <v>Wetland</v>
      </c>
      <c r="G1" s="41" t="str">
        <f>IF('[1]370 Community Land Assets in or'!F4=""," ",'[1]370 Community Land Assets in or'!F4)</f>
        <v xml:space="preserve"> </v>
      </c>
      <c r="H1" s="41" t="str">
        <f>IF('[1]370 Community Land Assets in or'!G4=""," ",'[1]370 Community Land Assets in or'!G4)</f>
        <v xml:space="preserve"> </v>
      </c>
      <c r="I1" s="41" t="str">
        <f>IF('[1]370 Community Land Assets in or'!H4=""," ",'[1]370 Community Land Assets in or'!H4)</f>
        <v xml:space="preserve"> </v>
      </c>
      <c r="J1" s="41" t="str">
        <f>IF('[1]370 Community Land Assets in or'!I4=""," ",'[1]370 Community Land Assets in or'!I4)</f>
        <v xml:space="preserve"> </v>
      </c>
      <c r="K1" s="41" t="str">
        <f>IF('[1]370 Community Land Assets in or'!J4=""," ",'[1]370 Community Land Assets in or'!J4)</f>
        <v xml:space="preserve"> </v>
      </c>
      <c r="L1" s="41" t="str">
        <f>IF('[1]370 Community Land Assets in or'!K4=""," ",'[1]370 Community Land Assets in or'!K4)</f>
        <v xml:space="preserve"> </v>
      </c>
      <c r="M1" s="41" t="str">
        <f>IF('[1]370 Community Land Assets in or'!L4=""," ",'[1]370 Community Land Assets in or'!L4)</f>
        <v xml:space="preserve"> </v>
      </c>
      <c r="N1" s="41" t="str">
        <f>IF('[1]370 Community Land Assets in or'!M4=""," ",'[1]370 Community Land Assets in or'!M4)</f>
        <v xml:space="preserve"> </v>
      </c>
      <c r="O1" s="41" t="str">
        <f>IF('[1]370 Community Land Assets in or'!N4=""," ",'[1]370 Community Land Assets in or'!N4)</f>
        <v xml:space="preserve"> </v>
      </c>
      <c r="P1" s="41" t="str">
        <f>IF('[1]370 Community Land Assets in or'!O4=""," ",'[1]370 Community Land Assets in or'!O4)</f>
        <v xml:space="preserve"> </v>
      </c>
      <c r="Q1" s="41" t="str">
        <f>IF('[1]370 Community Land Assets in or'!P4=""," ",'[1]370 Community Land Assets in or'!P4)</f>
        <v xml:space="preserve"> </v>
      </c>
      <c r="R1" s="41" t="str">
        <f>IF('[1]370 Community Land Assets in or'!Q4=""," ",'[1]370 Community Land Assets in or'!Q4)</f>
        <v xml:space="preserve"> </v>
      </c>
      <c r="S1" s="41" t="str">
        <f>IF('[1]370 Community Land Assets in or'!R4=""," ",'[1]370 Community Land Assets in or'!R4)</f>
        <v xml:space="preserve"> </v>
      </c>
      <c r="T1" s="41" t="str">
        <f>IF('[1]370 Community Land Assets in or'!S4=""," ",'[1]370 Community Land Assets in or'!S4)</f>
        <v xml:space="preserve"> </v>
      </c>
      <c r="U1" s="41" t="str">
        <f>IF('[1]370 Community Land Assets in or'!T4=""," ",'[1]370 Community Land Assets in or'!T4)</f>
        <v xml:space="preserve"> </v>
      </c>
      <c r="V1" s="41" t="str">
        <f>IF('[1]370 Community Land Assets in or'!U4=""," ",'[1]370 Community Land Assets in or'!U4)</f>
        <v xml:space="preserve"> </v>
      </c>
      <c r="W1" s="41" t="str">
        <f>IF('[1]370 Community Land Assets in or'!V4=""," ",'[1]370 Community Land Assets in or'!V4)</f>
        <v xml:space="preserve"> </v>
      </c>
      <c r="X1" s="41" t="str">
        <f>IF('[1]370 Community Land Assets in or'!W4=""," ",'[1]370 Community Land Assets in or'!W4)</f>
        <v xml:space="preserve"> </v>
      </c>
      <c r="Y1" s="41" t="str">
        <f>IF('[1]370 Community Land Assets in or'!X4=""," ",'[1]370 Community Land Assets in or'!X4)</f>
        <v xml:space="preserve"> </v>
      </c>
      <c r="Z1" s="41" t="str">
        <f>IF('[1]370 Community Land Assets in or'!Y4=""," ",'[1]370 Community Land Assets in or'!Y4)</f>
        <v xml:space="preserve"> </v>
      </c>
      <c r="AA1" s="41" t="str">
        <f>IF('[1]370 Community Land Assets in or'!Z4=""," ",'[1]370 Community Land Assets in or'!Z4)</f>
        <v xml:space="preserve"> </v>
      </c>
      <c r="AB1" s="41" t="s">
        <v>17</v>
      </c>
      <c r="AC1" s="41" t="s">
        <v>17</v>
      </c>
      <c r="AD1" s="41" t="s">
        <v>17</v>
      </c>
      <c r="AE1" s="41" t="s">
        <v>17</v>
      </c>
      <c r="AF1" s="41" t="s">
        <v>17</v>
      </c>
      <c r="AG1" s="41" t="s">
        <v>17</v>
      </c>
      <c r="AH1" s="41" t="s">
        <v>17</v>
      </c>
      <c r="AI1" s="41" t="s">
        <v>17</v>
      </c>
      <c r="AJ1" s="41" t="s">
        <v>17</v>
      </c>
      <c r="AK1" s="41" t="s">
        <v>17</v>
      </c>
      <c r="AL1" s="41" t="s">
        <v>17</v>
      </c>
      <c r="AM1" s="41" t="s">
        <v>17</v>
      </c>
      <c r="AN1" s="41" t="s">
        <v>17</v>
      </c>
      <c r="AO1" s="41" t="s">
        <v>17</v>
      </c>
      <c r="AP1" s="41" t="s">
        <v>17</v>
      </c>
      <c r="AQ1" s="41" t="s">
        <v>17</v>
      </c>
      <c r="AR1" s="41" t="s">
        <v>17</v>
      </c>
      <c r="AS1" s="41" t="s">
        <v>17</v>
      </c>
      <c r="AT1" s="41" t="s">
        <v>17</v>
      </c>
      <c r="AU1" s="41" t="s">
        <v>17</v>
      </c>
      <c r="AV1" s="41" t="s">
        <v>17</v>
      </c>
      <c r="AW1" s="41" t="s">
        <v>17</v>
      </c>
      <c r="AX1" s="41" t="s">
        <v>17</v>
      </c>
      <c r="AY1" s="41" t="s">
        <v>17</v>
      </c>
      <c r="AZ1" s="41" t="s">
        <v>17</v>
      </c>
    </row>
    <row r="2" spans="1:53" s="46" customFormat="1" ht="18" hidden="1" customHeight="1">
      <c r="B2" s="47" t="s">
        <v>17</v>
      </c>
      <c r="C2" s="47" t="s">
        <v>14</v>
      </c>
      <c r="D2" s="47"/>
      <c r="E2" s="82" t="str">
        <f>E1</f>
        <v>Upland</v>
      </c>
      <c r="F2" s="82" t="str">
        <f t="shared" ref="F2:H2" si="0">F1</f>
        <v>Wetland</v>
      </c>
      <c r="G2" s="48" t="str">
        <f t="shared" si="0"/>
        <v xml:space="preserve"> </v>
      </c>
      <c r="H2" s="48" t="str">
        <f t="shared" si="0"/>
        <v xml:space="preserve"> </v>
      </c>
      <c r="I2" s="48" t="s">
        <v>14</v>
      </c>
      <c r="J2" s="48" t="s">
        <v>14</v>
      </c>
      <c r="K2" s="48" t="s">
        <v>14</v>
      </c>
      <c r="L2" s="48" t="s">
        <v>14</v>
      </c>
      <c r="M2" s="48" t="s">
        <v>14</v>
      </c>
      <c r="N2" s="48" t="s">
        <v>14</v>
      </c>
      <c r="O2" s="48" t="s">
        <v>14</v>
      </c>
      <c r="P2" s="48" t="s">
        <v>14</v>
      </c>
      <c r="Q2" s="48" t="s">
        <v>14</v>
      </c>
      <c r="R2" s="48" t="s">
        <v>14</v>
      </c>
      <c r="S2" s="48" t="s">
        <v>14</v>
      </c>
      <c r="T2" s="48" t="s">
        <v>14</v>
      </c>
      <c r="U2" s="48" t="s">
        <v>14</v>
      </c>
      <c r="V2" s="48" t="s">
        <v>14</v>
      </c>
      <c r="W2" s="48" t="s">
        <v>14</v>
      </c>
      <c r="X2" s="48" t="s">
        <v>14</v>
      </c>
      <c r="Y2" s="48" t="s">
        <v>14</v>
      </c>
      <c r="Z2" s="48" t="s">
        <v>14</v>
      </c>
      <c r="AA2" s="48" t="s">
        <v>14</v>
      </c>
      <c r="AB2" s="49"/>
      <c r="AC2" s="49"/>
      <c r="AD2" s="49"/>
      <c r="AE2" s="49"/>
      <c r="AF2" s="49"/>
      <c r="AG2" s="49"/>
      <c r="AH2" s="49"/>
      <c r="AI2" s="49"/>
      <c r="AJ2" s="49"/>
      <c r="AK2" s="49"/>
      <c r="AL2" s="49"/>
      <c r="AM2" s="49"/>
      <c r="AN2" s="49"/>
      <c r="AO2" s="49"/>
      <c r="AP2" s="49"/>
      <c r="AQ2" s="49"/>
      <c r="AR2" s="49"/>
      <c r="AS2" s="49"/>
      <c r="AT2" s="49"/>
      <c r="AU2" s="49"/>
      <c r="AV2" s="49"/>
      <c r="AW2" s="49"/>
      <c r="AX2" s="49"/>
      <c r="AY2" s="49"/>
      <c r="AZ2" s="49"/>
      <c r="BA2" s="49"/>
    </row>
    <row r="3" spans="1:53" s="46" customFormat="1" ht="18" hidden="1" customHeight="1">
      <c r="A3" s="97" t="s">
        <v>50</v>
      </c>
      <c r="B3" s="79" t="str">
        <f>'[1]370 Community Land Assets in or'!$B$6</f>
        <v>Averages</v>
      </c>
      <c r="C3" s="85" t="str">
        <f>IF('[1]370 Community Land Assets in or'!C6="","",'[1]370 Community Land Assets in or'!C6)</f>
        <v>Poor</v>
      </c>
      <c r="D3" s="47" t="str">
        <f>C3</f>
        <v>Poor</v>
      </c>
      <c r="E3" s="81">
        <f>IF('[1]370 Community Land Assets in or'!D6="","",'[1]370 Community Land Assets in or'!D6)</f>
        <v>0.5</v>
      </c>
      <c r="F3" s="81">
        <f>IF('[1]370 Community Land Assets in or'!E6="","",'[1]370 Community Land Assets in or'!E6)</f>
        <v>1.75</v>
      </c>
      <c r="G3" s="81" t="str">
        <f>IF('[1]370 Community Land Assets in or'!F6="","",'[1]370 Community Land Assets in or'!F6)</f>
        <v/>
      </c>
      <c r="H3" s="81" t="str">
        <f>IF('[1]370 Community Land Assets in or'!G6="","",'[1]370 Community Land Assets in or'!G6)</f>
        <v/>
      </c>
      <c r="I3" s="81" t="s">
        <v>17</v>
      </c>
      <c r="J3" s="81" t="s">
        <v>17</v>
      </c>
      <c r="K3" s="81" t="s">
        <v>17</v>
      </c>
      <c r="L3" s="81" t="s">
        <v>17</v>
      </c>
      <c r="M3" s="81" t="s">
        <v>17</v>
      </c>
      <c r="N3" s="81" t="s">
        <v>17</v>
      </c>
      <c r="O3" s="81" t="s">
        <v>17</v>
      </c>
      <c r="P3" s="81" t="s">
        <v>17</v>
      </c>
      <c r="Q3" s="81" t="s">
        <v>17</v>
      </c>
      <c r="R3" s="81" t="s">
        <v>17</v>
      </c>
      <c r="S3" s="81" t="s">
        <v>17</v>
      </c>
      <c r="T3" s="81" t="s">
        <v>17</v>
      </c>
      <c r="U3" s="81" t="s">
        <v>17</v>
      </c>
      <c r="V3" s="81" t="s">
        <v>17</v>
      </c>
      <c r="W3" s="81" t="s">
        <v>17</v>
      </c>
      <c r="X3" s="81" t="s">
        <v>17</v>
      </c>
      <c r="Y3" s="81" t="s">
        <v>17</v>
      </c>
      <c r="Z3" s="81" t="s">
        <v>17</v>
      </c>
      <c r="AA3" s="81" t="s">
        <v>17</v>
      </c>
      <c r="AB3" s="81" t="s">
        <v>17</v>
      </c>
      <c r="AC3" s="81" t="s">
        <v>17</v>
      </c>
      <c r="AD3" s="81" t="s">
        <v>17</v>
      </c>
      <c r="AE3" s="81" t="s">
        <v>17</v>
      </c>
      <c r="AF3" s="81" t="s">
        <v>17</v>
      </c>
      <c r="AG3" s="81" t="s">
        <v>17</v>
      </c>
      <c r="AH3" s="81" t="s">
        <v>17</v>
      </c>
      <c r="AI3" s="81" t="s">
        <v>17</v>
      </c>
      <c r="AJ3" s="81" t="s">
        <v>17</v>
      </c>
      <c r="AK3" s="81" t="s">
        <v>17</v>
      </c>
      <c r="AL3" s="81" t="s">
        <v>17</v>
      </c>
      <c r="AM3" s="81" t="s">
        <v>17</v>
      </c>
      <c r="AN3" s="81" t="s">
        <v>17</v>
      </c>
      <c r="AO3" s="81" t="s">
        <v>17</v>
      </c>
      <c r="AP3" s="81" t="s">
        <v>17</v>
      </c>
      <c r="AQ3" s="81" t="s">
        <v>17</v>
      </c>
      <c r="AR3" s="81" t="s">
        <v>17</v>
      </c>
      <c r="AS3" s="81" t="s">
        <v>17</v>
      </c>
      <c r="AT3" s="81" t="s">
        <v>17</v>
      </c>
      <c r="AU3" s="81" t="s">
        <v>17</v>
      </c>
      <c r="AV3" s="81" t="s">
        <v>17</v>
      </c>
      <c r="AW3" s="81" t="s">
        <v>17</v>
      </c>
      <c r="AX3" s="81" t="s">
        <v>17</v>
      </c>
      <c r="AY3" s="81" t="s">
        <v>17</v>
      </c>
      <c r="AZ3" s="81" t="s">
        <v>17</v>
      </c>
      <c r="BA3" s="49"/>
    </row>
    <row r="4" spans="1:53" s="46" customFormat="1" ht="18" hidden="1" customHeight="1">
      <c r="A4" s="98">
        <v>1</v>
      </c>
      <c r="B4" s="79"/>
      <c r="C4" s="85" t="str">
        <f>IF('[1]370 Community Land Assets in or'!C7="","",'[1]370 Community Land Assets in or'!C7)</f>
        <v>Middle</v>
      </c>
      <c r="D4" s="47" t="str">
        <f>C4</f>
        <v>Middle</v>
      </c>
      <c r="E4" s="81">
        <f>IF('[1]370 Community Land Assets in or'!D7="","",'[1]370 Community Land Assets in or'!D7)</f>
        <v>5.875</v>
      </c>
      <c r="F4" s="81">
        <f>IF('[1]370 Community Land Assets in or'!E7="","",'[1]370 Community Land Assets in or'!E7)</f>
        <v>1</v>
      </c>
      <c r="G4" s="81" t="str">
        <f>IF('[1]370 Community Land Assets in or'!F7="","",'[1]370 Community Land Assets in or'!F7)</f>
        <v/>
      </c>
      <c r="H4" s="81" t="str">
        <f>IF('[1]370 Community Land Assets in or'!G7="","",'[1]370 Community Land Assets in or'!G7)</f>
        <v/>
      </c>
      <c r="I4" s="81" t="s">
        <v>17</v>
      </c>
      <c r="J4" s="81" t="s">
        <v>17</v>
      </c>
      <c r="K4" s="81" t="s">
        <v>17</v>
      </c>
      <c r="L4" s="81" t="s">
        <v>17</v>
      </c>
      <c r="M4" s="81" t="s">
        <v>17</v>
      </c>
      <c r="N4" s="81" t="s">
        <v>17</v>
      </c>
      <c r="O4" s="81" t="s">
        <v>17</v>
      </c>
      <c r="P4" s="81" t="s">
        <v>17</v>
      </c>
      <c r="Q4" s="81" t="s">
        <v>17</v>
      </c>
      <c r="R4" s="81" t="s">
        <v>17</v>
      </c>
      <c r="S4" s="81" t="s">
        <v>17</v>
      </c>
      <c r="T4" s="81" t="s">
        <v>17</v>
      </c>
      <c r="U4" s="81" t="s">
        <v>17</v>
      </c>
      <c r="V4" s="81" t="s">
        <v>17</v>
      </c>
      <c r="W4" s="81" t="s">
        <v>17</v>
      </c>
      <c r="X4" s="81" t="s">
        <v>17</v>
      </c>
      <c r="Y4" s="81" t="s">
        <v>17</v>
      </c>
      <c r="Z4" s="81" t="s">
        <v>17</v>
      </c>
      <c r="AA4" s="81" t="s">
        <v>17</v>
      </c>
      <c r="AB4" s="81" t="s">
        <v>17</v>
      </c>
      <c r="AC4" s="81" t="s">
        <v>17</v>
      </c>
      <c r="AD4" s="81" t="s">
        <v>17</v>
      </c>
      <c r="AE4" s="81" t="s">
        <v>17</v>
      </c>
      <c r="AF4" s="81" t="s">
        <v>17</v>
      </c>
      <c r="AG4" s="81" t="s">
        <v>17</v>
      </c>
      <c r="AH4" s="81" t="s">
        <v>17</v>
      </c>
      <c r="AI4" s="81" t="s">
        <v>17</v>
      </c>
      <c r="AJ4" s="81" t="s">
        <v>17</v>
      </c>
      <c r="AK4" s="81" t="s">
        <v>17</v>
      </c>
      <c r="AL4" s="81" t="s">
        <v>17</v>
      </c>
      <c r="AM4" s="81" t="s">
        <v>17</v>
      </c>
      <c r="AN4" s="81" t="s">
        <v>17</v>
      </c>
      <c r="AO4" s="81" t="s">
        <v>17</v>
      </c>
      <c r="AP4" s="81" t="s">
        <v>17</v>
      </c>
      <c r="AQ4" s="81" t="s">
        <v>17</v>
      </c>
      <c r="AR4" s="81" t="s">
        <v>17</v>
      </c>
      <c r="AS4" s="81" t="s">
        <v>17</v>
      </c>
      <c r="AT4" s="81" t="s">
        <v>17</v>
      </c>
      <c r="AU4" s="81" t="s">
        <v>17</v>
      </c>
      <c r="AV4" s="81" t="s">
        <v>17</v>
      </c>
      <c r="AW4" s="81" t="s">
        <v>17</v>
      </c>
      <c r="AX4" s="81" t="s">
        <v>17</v>
      </c>
      <c r="AY4" s="81" t="s">
        <v>17</v>
      </c>
      <c r="AZ4" s="81" t="s">
        <v>17</v>
      </c>
      <c r="BA4" s="49"/>
    </row>
    <row r="5" spans="1:53" s="50" customFormat="1" ht="18" hidden="1" customHeight="1">
      <c r="A5" s="80" t="s">
        <v>23</v>
      </c>
      <c r="B5" s="47" t="s">
        <v>17</v>
      </c>
      <c r="C5" s="85" t="str">
        <f>IF('[1]370 Community Land Assets in or'!C8="","",'[1]370 Community Land Assets in or'!C8)</f>
        <v>Better Off</v>
      </c>
      <c r="D5" s="47" t="str">
        <f>C5</f>
        <v>Better Off</v>
      </c>
      <c r="E5" s="81">
        <f>IF('[1]370 Community Land Assets in or'!D8="","",'[1]370 Community Land Assets in or'!D8)</f>
        <v>6.5</v>
      </c>
      <c r="F5" s="81">
        <f>IF('[1]370 Community Land Assets in or'!E8="","",'[1]370 Community Land Assets in or'!E8)</f>
        <v>0</v>
      </c>
      <c r="G5" s="81" t="str">
        <f>IF('[1]370 Community Land Assets in or'!F8="","",'[1]370 Community Land Assets in or'!F8)</f>
        <v/>
      </c>
      <c r="H5" s="81" t="str">
        <f>IF('[1]370 Community Land Assets in or'!G8="","",'[1]370 Community Land Assets in or'!G8)</f>
        <v/>
      </c>
      <c r="I5" s="81" t="s">
        <v>17</v>
      </c>
      <c r="J5" s="81" t="s">
        <v>17</v>
      </c>
      <c r="K5" s="81" t="s">
        <v>17</v>
      </c>
      <c r="L5" s="81" t="s">
        <v>17</v>
      </c>
      <c r="M5" s="81" t="s">
        <v>17</v>
      </c>
      <c r="N5" s="81" t="s">
        <v>17</v>
      </c>
      <c r="O5" s="81" t="s">
        <v>17</v>
      </c>
      <c r="P5" s="81" t="s">
        <v>17</v>
      </c>
      <c r="Q5" s="81" t="s">
        <v>17</v>
      </c>
      <c r="R5" s="81" t="s">
        <v>17</v>
      </c>
      <c r="S5" s="81" t="s">
        <v>17</v>
      </c>
      <c r="T5" s="81" t="s">
        <v>17</v>
      </c>
      <c r="U5" s="81" t="s">
        <v>17</v>
      </c>
      <c r="V5" s="81" t="s">
        <v>17</v>
      </c>
      <c r="W5" s="81" t="s">
        <v>17</v>
      </c>
      <c r="X5" s="81" t="s">
        <v>17</v>
      </c>
      <c r="Y5" s="81" t="s">
        <v>17</v>
      </c>
      <c r="Z5" s="81" t="s">
        <v>17</v>
      </c>
      <c r="AA5" s="81" t="s">
        <v>17</v>
      </c>
      <c r="AB5" s="81" t="s">
        <v>17</v>
      </c>
      <c r="AC5" s="81" t="s">
        <v>17</v>
      </c>
      <c r="AD5" s="81" t="s">
        <v>17</v>
      </c>
      <c r="AE5" s="81" t="s">
        <v>17</v>
      </c>
      <c r="AF5" s="81" t="s">
        <v>17</v>
      </c>
      <c r="AG5" s="81" t="s">
        <v>17</v>
      </c>
      <c r="AH5" s="81" t="s">
        <v>17</v>
      </c>
      <c r="AI5" s="81" t="s">
        <v>17</v>
      </c>
      <c r="AJ5" s="81" t="s">
        <v>17</v>
      </c>
      <c r="AK5" s="81" t="s">
        <v>17</v>
      </c>
      <c r="AL5" s="81" t="s">
        <v>17</v>
      </c>
      <c r="AM5" s="81" t="s">
        <v>17</v>
      </c>
      <c r="AN5" s="81" t="s">
        <v>17</v>
      </c>
      <c r="AO5" s="81" t="s">
        <v>17</v>
      </c>
      <c r="AP5" s="81" t="s">
        <v>17</v>
      </c>
      <c r="AQ5" s="81" t="s">
        <v>17</v>
      </c>
      <c r="AR5" s="81" t="s">
        <v>17</v>
      </c>
      <c r="AS5" s="81" t="s">
        <v>17</v>
      </c>
      <c r="AT5" s="81" t="s">
        <v>17</v>
      </c>
      <c r="AU5" s="81" t="s">
        <v>17</v>
      </c>
      <c r="AV5" s="81" t="s">
        <v>17</v>
      </c>
      <c r="AW5" s="81" t="s">
        <v>17</v>
      </c>
      <c r="AX5" s="81" t="s">
        <v>17</v>
      </c>
      <c r="AY5" s="81" t="s">
        <v>17</v>
      </c>
      <c r="AZ5" s="81" t="s">
        <v>17</v>
      </c>
      <c r="BA5" s="49"/>
    </row>
    <row r="6" spans="1:53" s="46" customFormat="1" ht="18" hidden="1" customHeight="1">
      <c r="A6" s="83">
        <f>'Disposable Income Data'!G9</f>
        <v>4</v>
      </c>
      <c r="B6" s="47" t="s">
        <v>17</v>
      </c>
      <c r="C6" s="79" t="s">
        <v>17</v>
      </c>
      <c r="D6" s="54" t="str">
        <f>A18</f>
        <v>Banana Coffee Piggery LZ, Land Assets (Acres)</v>
      </c>
      <c r="E6" s="48" t="str">
        <f>E1</f>
        <v>Upland</v>
      </c>
      <c r="F6" s="48" t="str">
        <f t="shared" ref="F6:AA6" si="1">F1</f>
        <v>Wetland</v>
      </c>
      <c r="G6" s="48" t="str">
        <f t="shared" si="1"/>
        <v xml:space="preserve"> </v>
      </c>
      <c r="H6" s="48" t="str">
        <f t="shared" si="1"/>
        <v xml:space="preserve"> </v>
      </c>
      <c r="I6" s="48" t="str">
        <f t="shared" si="1"/>
        <v xml:space="preserve"> </v>
      </c>
      <c r="J6" s="48" t="str">
        <f t="shared" si="1"/>
        <v xml:space="preserve"> </v>
      </c>
      <c r="K6" s="48" t="str">
        <f t="shared" si="1"/>
        <v xml:space="preserve"> </v>
      </c>
      <c r="L6" s="48" t="str">
        <f t="shared" si="1"/>
        <v xml:space="preserve"> </v>
      </c>
      <c r="M6" s="48" t="str">
        <f t="shared" si="1"/>
        <v xml:space="preserve"> </v>
      </c>
      <c r="N6" s="48" t="str">
        <f t="shared" si="1"/>
        <v xml:space="preserve"> </v>
      </c>
      <c r="O6" s="48" t="str">
        <f t="shared" si="1"/>
        <v xml:space="preserve"> </v>
      </c>
      <c r="P6" s="48" t="str">
        <f t="shared" si="1"/>
        <v xml:space="preserve"> </v>
      </c>
      <c r="Q6" s="48" t="str">
        <f t="shared" si="1"/>
        <v xml:space="preserve"> </v>
      </c>
      <c r="R6" s="48" t="str">
        <f t="shared" si="1"/>
        <v xml:space="preserve"> </v>
      </c>
      <c r="S6" s="48" t="str">
        <f t="shared" si="1"/>
        <v xml:space="preserve"> </v>
      </c>
      <c r="T6" s="48" t="str">
        <f t="shared" si="1"/>
        <v xml:space="preserve"> </v>
      </c>
      <c r="U6" s="48" t="str">
        <f t="shared" si="1"/>
        <v xml:space="preserve"> </v>
      </c>
      <c r="V6" s="48" t="str">
        <f t="shared" si="1"/>
        <v xml:space="preserve"> </v>
      </c>
      <c r="W6" s="48" t="str">
        <f t="shared" si="1"/>
        <v xml:space="preserve"> </v>
      </c>
      <c r="X6" s="48" t="str">
        <f t="shared" si="1"/>
        <v xml:space="preserve"> </v>
      </c>
      <c r="Y6" s="48" t="str">
        <f t="shared" si="1"/>
        <v xml:space="preserve"> </v>
      </c>
      <c r="Z6" s="48" t="str">
        <f t="shared" si="1"/>
        <v xml:space="preserve"> </v>
      </c>
      <c r="AA6" s="48" t="str">
        <f t="shared" si="1"/>
        <v xml:space="preserve"> </v>
      </c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  <c r="AY6" s="48"/>
      <c r="AZ6" s="48"/>
      <c r="BA6" s="49"/>
    </row>
    <row r="7" spans="1:53" s="50" customFormat="1" ht="18" hidden="1" customHeight="1">
      <c r="A7" s="80" t="s">
        <v>24</v>
      </c>
      <c r="B7" s="79"/>
      <c r="C7" s="85" t="str">
        <f>IF('[1]370 Community Land Assets in or'!C10=""," ",'[1]370 Community Land Assets in or'!C10)</f>
        <v>Poor</v>
      </c>
      <c r="D7" s="47" t="str">
        <f>IF(B7&lt;&gt;"",CONCATENATE(C7,"      ",B7),C7)</f>
        <v>Poor</v>
      </c>
      <c r="E7" s="81">
        <f>IF('[1]370 Community Land Assets in or'!D10="","",'[1]370 Community Land Assets in or'!D10)</f>
        <v>0.5</v>
      </c>
      <c r="F7" s="81">
        <f>IF('[1]370 Community Land Assets in or'!E10="","",'[1]370 Community Land Assets in or'!E10)</f>
        <v>7</v>
      </c>
      <c r="G7" s="81" t="str">
        <f>IF('[1]370 Community Land Assets in or'!F10="","",'[1]370 Community Land Assets in or'!F10)</f>
        <v/>
      </c>
      <c r="H7" s="81" t="str">
        <f>IF('[1]370 Community Land Assets in or'!G10="","",'[1]370 Community Land Assets in or'!G10)</f>
        <v/>
      </c>
      <c r="I7" s="81" t="s">
        <v>17</v>
      </c>
      <c r="J7" s="81" t="s">
        <v>17</v>
      </c>
      <c r="K7" s="81" t="s">
        <v>17</v>
      </c>
      <c r="L7" s="81" t="s">
        <v>17</v>
      </c>
      <c r="M7" s="81" t="s">
        <v>17</v>
      </c>
      <c r="N7" s="81" t="s">
        <v>17</v>
      </c>
      <c r="O7" s="81" t="s">
        <v>17</v>
      </c>
      <c r="P7" s="81" t="s">
        <v>17</v>
      </c>
      <c r="Q7" s="81" t="s">
        <v>17</v>
      </c>
      <c r="R7" s="81" t="s">
        <v>17</v>
      </c>
      <c r="S7" s="81" t="s">
        <v>17</v>
      </c>
      <c r="T7" s="81" t="s">
        <v>17</v>
      </c>
      <c r="U7" s="81" t="s">
        <v>17</v>
      </c>
      <c r="V7" s="81" t="s">
        <v>17</v>
      </c>
      <c r="W7" s="81" t="s">
        <v>17</v>
      </c>
      <c r="X7" s="81" t="s">
        <v>17</v>
      </c>
      <c r="Y7" s="81" t="s">
        <v>17</v>
      </c>
      <c r="Z7" s="81" t="s">
        <v>17</v>
      </c>
      <c r="AA7" s="81" t="s">
        <v>17</v>
      </c>
      <c r="AB7" s="81" t="s">
        <v>17</v>
      </c>
      <c r="AC7" s="81" t="s">
        <v>17</v>
      </c>
      <c r="AD7" s="81" t="s">
        <v>17</v>
      </c>
      <c r="AE7" s="81" t="s">
        <v>17</v>
      </c>
      <c r="AF7" s="81" t="s">
        <v>17</v>
      </c>
      <c r="AG7" s="81" t="s">
        <v>17</v>
      </c>
      <c r="AH7" s="81" t="s">
        <v>17</v>
      </c>
      <c r="AI7" s="81" t="s">
        <v>17</v>
      </c>
      <c r="AJ7" s="81" t="s">
        <v>17</v>
      </c>
      <c r="AK7" s="81" t="s">
        <v>17</v>
      </c>
      <c r="AL7" s="81" t="s">
        <v>17</v>
      </c>
      <c r="AM7" s="81" t="s">
        <v>17</v>
      </c>
      <c r="AN7" s="81" t="s">
        <v>17</v>
      </c>
      <c r="AO7" s="81" t="s">
        <v>17</v>
      </c>
      <c r="AP7" s="81" t="s">
        <v>17</v>
      </c>
      <c r="AQ7" s="81" t="s">
        <v>17</v>
      </c>
      <c r="AR7" s="81" t="s">
        <v>17</v>
      </c>
      <c r="AS7" s="81" t="s">
        <v>17</v>
      </c>
      <c r="AT7" s="81" t="s">
        <v>17</v>
      </c>
      <c r="AU7" s="81" t="s">
        <v>17</v>
      </c>
      <c r="AV7" s="81" t="s">
        <v>17</v>
      </c>
      <c r="AW7" s="81" t="s">
        <v>17</v>
      </c>
      <c r="AX7" s="81" t="s">
        <v>17</v>
      </c>
      <c r="AY7" s="81" t="s">
        <v>17</v>
      </c>
      <c r="AZ7" s="81" t="s">
        <v>17</v>
      </c>
      <c r="BA7" s="49"/>
    </row>
    <row r="8" spans="1:53" s="50" customFormat="1" ht="18" hidden="1" customHeight="1">
      <c r="A8" s="84">
        <f>A6*3</f>
        <v>12</v>
      </c>
      <c r="B8" s="85" t="str">
        <f>IF('[1]370 Community Land Assets in or'!B10="","",'[1]370 Community Land Assets in or'!B10)</f>
        <v>Mukono Butere</v>
      </c>
      <c r="C8" s="85" t="str">
        <f>IF('[1]370 Community Land Assets in or'!C11="","",'[1]370 Community Land Assets in or'!C11)</f>
        <v>Middle</v>
      </c>
      <c r="D8" s="47" t="str">
        <f t="shared" ref="D8:D71" si="2">IF(B8&lt;&gt;"",CONCATENATE(C8,"      ",B8),C8)</f>
        <v>Middle      Mukono Butere</v>
      </c>
      <c r="E8" s="81">
        <f>IF('[1]370 Community Land Assets in or'!D11="","",'[1]370 Community Land Assets in or'!D11)</f>
        <v>10</v>
      </c>
      <c r="F8" s="81">
        <f>IF('[1]370 Community Land Assets in or'!E11="","",'[1]370 Community Land Assets in or'!E11)</f>
        <v>4</v>
      </c>
      <c r="G8" s="81" t="str">
        <f>IF('[1]370 Community Land Assets in or'!F11="","",'[1]370 Community Land Assets in or'!F11)</f>
        <v/>
      </c>
      <c r="H8" s="81" t="str">
        <f>IF('[1]370 Community Land Assets in or'!G11="","",'[1]370 Community Land Assets in or'!G11)</f>
        <v/>
      </c>
      <c r="I8" s="81" t="s">
        <v>17</v>
      </c>
      <c r="J8" s="81" t="s">
        <v>17</v>
      </c>
      <c r="K8" s="81" t="s">
        <v>17</v>
      </c>
      <c r="L8" s="81" t="s">
        <v>17</v>
      </c>
      <c r="M8" s="81" t="s">
        <v>17</v>
      </c>
      <c r="N8" s="81" t="s">
        <v>17</v>
      </c>
      <c r="O8" s="81" t="s">
        <v>17</v>
      </c>
      <c r="P8" s="81" t="s">
        <v>17</v>
      </c>
      <c r="Q8" s="81" t="s">
        <v>17</v>
      </c>
      <c r="R8" s="81" t="s">
        <v>17</v>
      </c>
      <c r="S8" s="81" t="s">
        <v>17</v>
      </c>
      <c r="T8" s="81" t="s">
        <v>17</v>
      </c>
      <c r="U8" s="81" t="s">
        <v>17</v>
      </c>
      <c r="V8" s="81" t="s">
        <v>17</v>
      </c>
      <c r="W8" s="81" t="s">
        <v>17</v>
      </c>
      <c r="X8" s="81" t="s">
        <v>17</v>
      </c>
      <c r="Y8" s="81" t="s">
        <v>17</v>
      </c>
      <c r="Z8" s="81" t="s">
        <v>17</v>
      </c>
      <c r="AA8" s="81" t="s">
        <v>17</v>
      </c>
      <c r="AB8" s="81" t="s">
        <v>17</v>
      </c>
      <c r="AC8" s="81" t="s">
        <v>17</v>
      </c>
      <c r="AD8" s="81" t="s">
        <v>17</v>
      </c>
      <c r="AE8" s="81" t="s">
        <v>17</v>
      </c>
      <c r="AF8" s="81" t="s">
        <v>17</v>
      </c>
      <c r="AG8" s="81" t="s">
        <v>17</v>
      </c>
      <c r="AH8" s="81" t="s">
        <v>17</v>
      </c>
      <c r="AI8" s="81" t="s">
        <v>17</v>
      </c>
      <c r="AJ8" s="81" t="s">
        <v>17</v>
      </c>
      <c r="AK8" s="81" t="s">
        <v>17</v>
      </c>
      <c r="AL8" s="81" t="s">
        <v>17</v>
      </c>
      <c r="AM8" s="81" t="s">
        <v>17</v>
      </c>
      <c r="AN8" s="81" t="s">
        <v>17</v>
      </c>
      <c r="AO8" s="81" t="s">
        <v>17</v>
      </c>
      <c r="AP8" s="81" t="s">
        <v>17</v>
      </c>
      <c r="AQ8" s="81" t="s">
        <v>17</v>
      </c>
      <c r="AR8" s="81" t="s">
        <v>17</v>
      </c>
      <c r="AS8" s="81" t="s">
        <v>17</v>
      </c>
      <c r="AT8" s="81" t="s">
        <v>17</v>
      </c>
      <c r="AU8" s="81" t="s">
        <v>17</v>
      </c>
      <c r="AV8" s="81" t="s">
        <v>17</v>
      </c>
      <c r="AW8" s="81" t="s">
        <v>17</v>
      </c>
      <c r="AX8" s="81" t="s">
        <v>17</v>
      </c>
      <c r="AY8" s="81" t="s">
        <v>17</v>
      </c>
      <c r="AZ8" s="81" t="s">
        <v>17</v>
      </c>
      <c r="BA8" s="49"/>
    </row>
    <row r="9" spans="1:53" s="50" customFormat="1" ht="18" hidden="1" customHeight="1">
      <c r="A9" s="80" t="s">
        <v>25</v>
      </c>
      <c r="B9" s="85" t="str">
        <f>IF('[1]370 Community Land Assets in or'!B11="","",'[1]370 Community Land Assets in or'!B11)</f>
        <v/>
      </c>
      <c r="C9" s="85" t="str">
        <f>IF('[1]370 Community Land Assets in or'!C12="","",'[1]370 Community Land Assets in or'!C12)</f>
        <v>Better Off</v>
      </c>
      <c r="D9" s="47" t="str">
        <f t="shared" si="2"/>
        <v>Better Off</v>
      </c>
      <c r="E9" s="81">
        <f>IF('[1]370 Community Land Assets in or'!D12="","",'[1]370 Community Land Assets in or'!D12)</f>
        <v>1</v>
      </c>
      <c r="F9" s="81">
        <f>IF('[1]370 Community Land Assets in or'!E12="","",'[1]370 Community Land Assets in or'!E12)</f>
        <v>0</v>
      </c>
      <c r="G9" s="81" t="str">
        <f>IF('[1]370 Community Land Assets in or'!F12="","",'[1]370 Community Land Assets in or'!F12)</f>
        <v/>
      </c>
      <c r="H9" s="81" t="str">
        <f>IF('[1]370 Community Land Assets in or'!G12="","",'[1]370 Community Land Assets in or'!G12)</f>
        <v/>
      </c>
      <c r="I9" s="81" t="s">
        <v>17</v>
      </c>
      <c r="J9" s="81" t="s">
        <v>17</v>
      </c>
      <c r="K9" s="81" t="s">
        <v>17</v>
      </c>
      <c r="L9" s="81" t="s">
        <v>17</v>
      </c>
      <c r="M9" s="81" t="s">
        <v>17</v>
      </c>
      <c r="N9" s="81" t="s">
        <v>17</v>
      </c>
      <c r="O9" s="81" t="s">
        <v>17</v>
      </c>
      <c r="P9" s="81" t="s">
        <v>17</v>
      </c>
      <c r="Q9" s="81" t="s">
        <v>17</v>
      </c>
      <c r="R9" s="81" t="s">
        <v>17</v>
      </c>
      <c r="S9" s="81" t="s">
        <v>17</v>
      </c>
      <c r="T9" s="81" t="s">
        <v>17</v>
      </c>
      <c r="U9" s="81" t="s">
        <v>17</v>
      </c>
      <c r="V9" s="81" t="s">
        <v>17</v>
      </c>
      <c r="W9" s="81" t="s">
        <v>17</v>
      </c>
      <c r="X9" s="81" t="s">
        <v>17</v>
      </c>
      <c r="Y9" s="81" t="s">
        <v>17</v>
      </c>
      <c r="Z9" s="81" t="s">
        <v>17</v>
      </c>
      <c r="AA9" s="81" t="s">
        <v>17</v>
      </c>
      <c r="AB9" s="81" t="s">
        <v>17</v>
      </c>
      <c r="AC9" s="81" t="s">
        <v>17</v>
      </c>
      <c r="AD9" s="81" t="s">
        <v>17</v>
      </c>
      <c r="AE9" s="81" t="s">
        <v>17</v>
      </c>
      <c r="AF9" s="81" t="s">
        <v>17</v>
      </c>
      <c r="AG9" s="81" t="s">
        <v>17</v>
      </c>
      <c r="AH9" s="81" t="s">
        <v>17</v>
      </c>
      <c r="AI9" s="81" t="s">
        <v>17</v>
      </c>
      <c r="AJ9" s="81" t="s">
        <v>17</v>
      </c>
      <c r="AK9" s="81" t="s">
        <v>17</v>
      </c>
      <c r="AL9" s="81" t="s">
        <v>17</v>
      </c>
      <c r="AM9" s="81" t="s">
        <v>17</v>
      </c>
      <c r="AN9" s="81" t="s">
        <v>17</v>
      </c>
      <c r="AO9" s="81" t="s">
        <v>17</v>
      </c>
      <c r="AP9" s="81" t="s">
        <v>17</v>
      </c>
      <c r="AQ9" s="81" t="s">
        <v>17</v>
      </c>
      <c r="AR9" s="81" t="s">
        <v>17</v>
      </c>
      <c r="AS9" s="81" t="s">
        <v>17</v>
      </c>
      <c r="AT9" s="81" t="s">
        <v>17</v>
      </c>
      <c r="AU9" s="81" t="s">
        <v>17</v>
      </c>
      <c r="AV9" s="81" t="s">
        <v>17</v>
      </c>
      <c r="AW9" s="81" t="s">
        <v>17</v>
      </c>
      <c r="AX9" s="81" t="s">
        <v>17</v>
      </c>
      <c r="AY9" s="81" t="s">
        <v>17</v>
      </c>
      <c r="AZ9" s="81" t="s">
        <v>17</v>
      </c>
      <c r="BA9" s="49"/>
    </row>
    <row r="10" spans="1:53" s="50" customFormat="1" ht="18" hidden="1" customHeight="1">
      <c r="A10" s="84">
        <f>COUNTIF(E1:AA1,"&lt;&gt; ")</f>
        <v>2</v>
      </c>
      <c r="B10" s="85" t="str">
        <f>IF('[1]370 Community Land Assets in or'!B12="","",'[1]370 Community Land Assets in or'!B12)</f>
        <v/>
      </c>
      <c r="C10" s="85" t="str">
        <f>IF('[1]370 Community Land Assets in or'!C13="","",'[1]370 Community Land Assets in or'!C13)</f>
        <v>Poor</v>
      </c>
      <c r="D10" s="47" t="str">
        <f t="shared" si="2"/>
        <v>Poor</v>
      </c>
      <c r="E10" s="81">
        <f>IF('[1]370 Community Land Assets in or'!D13="","",'[1]370 Community Land Assets in or'!D13)</f>
        <v>1</v>
      </c>
      <c r="F10" s="81">
        <f>IF('[1]370 Community Land Assets in or'!E13="","",'[1]370 Community Land Assets in or'!E13)</f>
        <v>0</v>
      </c>
      <c r="G10" s="81" t="str">
        <f>IF('[1]370 Community Land Assets in or'!F13="","",'[1]370 Community Land Assets in or'!F13)</f>
        <v/>
      </c>
      <c r="H10" s="81" t="str">
        <f>IF('[1]370 Community Land Assets in or'!G13="","",'[1]370 Community Land Assets in or'!G13)</f>
        <v/>
      </c>
      <c r="I10" s="81" t="s">
        <v>17</v>
      </c>
      <c r="J10" s="81" t="s">
        <v>17</v>
      </c>
      <c r="K10" s="81" t="s">
        <v>17</v>
      </c>
      <c r="L10" s="81" t="s">
        <v>17</v>
      </c>
      <c r="M10" s="81" t="s">
        <v>17</v>
      </c>
      <c r="N10" s="81" t="s">
        <v>17</v>
      </c>
      <c r="O10" s="81" t="s">
        <v>17</v>
      </c>
      <c r="P10" s="81" t="s">
        <v>17</v>
      </c>
      <c r="Q10" s="81" t="s">
        <v>17</v>
      </c>
      <c r="R10" s="81" t="s">
        <v>17</v>
      </c>
      <c r="S10" s="81" t="s">
        <v>17</v>
      </c>
      <c r="T10" s="81" t="s">
        <v>17</v>
      </c>
      <c r="U10" s="81" t="s">
        <v>17</v>
      </c>
      <c r="V10" s="81" t="s">
        <v>17</v>
      </c>
      <c r="W10" s="81" t="s">
        <v>17</v>
      </c>
      <c r="X10" s="81" t="s">
        <v>17</v>
      </c>
      <c r="Y10" s="81" t="s">
        <v>17</v>
      </c>
      <c r="Z10" s="81" t="s">
        <v>17</v>
      </c>
      <c r="AA10" s="81" t="s">
        <v>17</v>
      </c>
      <c r="AB10" s="81" t="s">
        <v>17</v>
      </c>
      <c r="AC10" s="81" t="s">
        <v>17</v>
      </c>
      <c r="AD10" s="81" t="s">
        <v>17</v>
      </c>
      <c r="AE10" s="81" t="s">
        <v>17</v>
      </c>
      <c r="AF10" s="81" t="s">
        <v>17</v>
      </c>
      <c r="AG10" s="81" t="s">
        <v>17</v>
      </c>
      <c r="AH10" s="81" t="s">
        <v>17</v>
      </c>
      <c r="AI10" s="81" t="s">
        <v>17</v>
      </c>
      <c r="AJ10" s="81" t="s">
        <v>17</v>
      </c>
      <c r="AK10" s="81" t="s">
        <v>17</v>
      </c>
      <c r="AL10" s="81" t="s">
        <v>17</v>
      </c>
      <c r="AM10" s="81" t="s">
        <v>17</v>
      </c>
      <c r="AN10" s="81" t="s">
        <v>17</v>
      </c>
      <c r="AO10" s="81" t="s">
        <v>17</v>
      </c>
      <c r="AP10" s="81" t="s">
        <v>17</v>
      </c>
      <c r="AQ10" s="81" t="s">
        <v>17</v>
      </c>
      <c r="AR10" s="81" t="s">
        <v>17</v>
      </c>
      <c r="AS10" s="81" t="s">
        <v>17</v>
      </c>
      <c r="AT10" s="81" t="s">
        <v>17</v>
      </c>
      <c r="AU10" s="81" t="s">
        <v>17</v>
      </c>
      <c r="AV10" s="81" t="s">
        <v>17</v>
      </c>
      <c r="AW10" s="81" t="s">
        <v>17</v>
      </c>
      <c r="AX10" s="81" t="s">
        <v>17</v>
      </c>
      <c r="AY10" s="81" t="s">
        <v>17</v>
      </c>
      <c r="AZ10" s="81" t="s">
        <v>17</v>
      </c>
      <c r="BA10" s="49"/>
    </row>
    <row r="11" spans="1:53" s="50" customFormat="1" ht="18" hidden="1" customHeight="1">
      <c r="B11" s="85" t="str">
        <f>IF('[1]370 Community Land Assets in or'!B13="","",'[1]370 Community Land Assets in or'!B13)</f>
        <v>Mukono Lusera</v>
      </c>
      <c r="C11" s="85" t="str">
        <f>IF('[1]370 Community Land Assets in or'!C14="","",'[1]370 Community Land Assets in or'!C14)</f>
        <v>Middle</v>
      </c>
      <c r="D11" s="47" t="str">
        <f t="shared" si="2"/>
        <v>Middle      Mukono Lusera</v>
      </c>
      <c r="E11" s="81">
        <f>IF('[1]370 Community Land Assets in or'!D14="","",'[1]370 Community Land Assets in or'!D14)</f>
        <v>0.5</v>
      </c>
      <c r="F11" s="81">
        <f>IF('[1]370 Community Land Assets in or'!E14="","",'[1]370 Community Land Assets in or'!E14)</f>
        <v>0</v>
      </c>
      <c r="G11" s="81" t="str">
        <f>IF('[1]370 Community Land Assets in or'!F14="","",'[1]370 Community Land Assets in or'!F14)</f>
        <v/>
      </c>
      <c r="H11" s="81" t="str">
        <f>IF('[1]370 Community Land Assets in or'!G14="","",'[1]370 Community Land Assets in or'!G14)</f>
        <v/>
      </c>
      <c r="I11" s="81" t="s">
        <v>17</v>
      </c>
      <c r="J11" s="81" t="s">
        <v>17</v>
      </c>
      <c r="K11" s="81" t="s">
        <v>17</v>
      </c>
      <c r="L11" s="81" t="s">
        <v>17</v>
      </c>
      <c r="M11" s="81" t="s">
        <v>17</v>
      </c>
      <c r="N11" s="81" t="s">
        <v>17</v>
      </c>
      <c r="O11" s="81" t="s">
        <v>17</v>
      </c>
      <c r="P11" s="81" t="s">
        <v>17</v>
      </c>
      <c r="Q11" s="81" t="s">
        <v>17</v>
      </c>
      <c r="R11" s="81" t="s">
        <v>17</v>
      </c>
      <c r="S11" s="81" t="s">
        <v>17</v>
      </c>
      <c r="T11" s="81" t="s">
        <v>17</v>
      </c>
      <c r="U11" s="81" t="s">
        <v>17</v>
      </c>
      <c r="V11" s="81" t="s">
        <v>17</v>
      </c>
      <c r="W11" s="81" t="s">
        <v>17</v>
      </c>
      <c r="X11" s="81" t="s">
        <v>17</v>
      </c>
      <c r="Y11" s="81" t="s">
        <v>17</v>
      </c>
      <c r="Z11" s="81" t="s">
        <v>17</v>
      </c>
      <c r="AA11" s="81" t="s">
        <v>17</v>
      </c>
      <c r="AB11" s="81" t="s">
        <v>17</v>
      </c>
      <c r="AC11" s="81" t="s">
        <v>17</v>
      </c>
      <c r="AD11" s="81" t="s">
        <v>17</v>
      </c>
      <c r="AE11" s="81" t="s">
        <v>17</v>
      </c>
      <c r="AF11" s="81" t="s">
        <v>17</v>
      </c>
      <c r="AG11" s="81" t="s">
        <v>17</v>
      </c>
      <c r="AH11" s="81" t="s">
        <v>17</v>
      </c>
      <c r="AI11" s="81" t="s">
        <v>17</v>
      </c>
      <c r="AJ11" s="81" t="s">
        <v>17</v>
      </c>
      <c r="AK11" s="81" t="s">
        <v>17</v>
      </c>
      <c r="AL11" s="81" t="s">
        <v>17</v>
      </c>
      <c r="AM11" s="81" t="s">
        <v>17</v>
      </c>
      <c r="AN11" s="81" t="s">
        <v>17</v>
      </c>
      <c r="AO11" s="81" t="s">
        <v>17</v>
      </c>
      <c r="AP11" s="81" t="s">
        <v>17</v>
      </c>
      <c r="AQ11" s="81" t="s">
        <v>17</v>
      </c>
      <c r="AR11" s="81" t="s">
        <v>17</v>
      </c>
      <c r="AS11" s="81" t="s">
        <v>17</v>
      </c>
      <c r="AT11" s="81" t="s">
        <v>17</v>
      </c>
      <c r="AU11" s="81" t="s">
        <v>17</v>
      </c>
      <c r="AV11" s="81" t="s">
        <v>17</v>
      </c>
      <c r="AW11" s="81" t="s">
        <v>17</v>
      </c>
      <c r="AX11" s="81" t="s">
        <v>17</v>
      </c>
      <c r="AY11" s="81" t="s">
        <v>17</v>
      </c>
      <c r="AZ11" s="81" t="s">
        <v>17</v>
      </c>
      <c r="BA11" s="49"/>
    </row>
    <row r="12" spans="1:53" s="50" customFormat="1" ht="18" hidden="1" customHeight="1">
      <c r="A12" s="80" t="s">
        <v>26</v>
      </c>
      <c r="B12" s="85" t="str">
        <f>IF('[1]370 Community Land Assets in or'!B14="","",'[1]370 Community Land Assets in or'!B14)</f>
        <v/>
      </c>
      <c r="C12" s="85" t="str">
        <f>IF('[1]370 Community Land Assets in or'!C15="","",'[1]370 Community Land Assets in or'!C15)</f>
        <v>Better Off</v>
      </c>
      <c r="D12" s="47" t="str">
        <f t="shared" si="2"/>
        <v>Better Off</v>
      </c>
      <c r="E12" s="81">
        <f>IF('[1]370 Community Land Assets in or'!D15="","",'[1]370 Community Land Assets in or'!D15)</f>
        <v>8</v>
      </c>
      <c r="F12" s="81">
        <f>IF('[1]370 Community Land Assets in or'!E15="","",'[1]370 Community Land Assets in or'!E15)</f>
        <v>0</v>
      </c>
      <c r="G12" s="81" t="str">
        <f>IF('[1]370 Community Land Assets in or'!F15="","",'[1]370 Community Land Assets in or'!F15)</f>
        <v/>
      </c>
      <c r="H12" s="81" t="str">
        <f>IF('[1]370 Community Land Assets in or'!G15="","",'[1]370 Community Land Assets in or'!G15)</f>
        <v/>
      </c>
      <c r="I12" s="81" t="s">
        <v>17</v>
      </c>
      <c r="J12" s="81" t="s">
        <v>17</v>
      </c>
      <c r="K12" s="81" t="s">
        <v>17</v>
      </c>
      <c r="L12" s="81" t="s">
        <v>17</v>
      </c>
      <c r="M12" s="81" t="s">
        <v>17</v>
      </c>
      <c r="N12" s="81" t="s">
        <v>17</v>
      </c>
      <c r="O12" s="81" t="s">
        <v>17</v>
      </c>
      <c r="P12" s="81" t="s">
        <v>17</v>
      </c>
      <c r="Q12" s="81" t="s">
        <v>17</v>
      </c>
      <c r="R12" s="81" t="s">
        <v>17</v>
      </c>
      <c r="S12" s="81" t="s">
        <v>17</v>
      </c>
      <c r="T12" s="81" t="s">
        <v>17</v>
      </c>
      <c r="U12" s="81" t="s">
        <v>17</v>
      </c>
      <c r="V12" s="81" t="s">
        <v>17</v>
      </c>
      <c r="W12" s="81" t="s">
        <v>17</v>
      </c>
      <c r="X12" s="81" t="s">
        <v>17</v>
      </c>
      <c r="Y12" s="81" t="s">
        <v>17</v>
      </c>
      <c r="Z12" s="81" t="s">
        <v>17</v>
      </c>
      <c r="AA12" s="81" t="s">
        <v>17</v>
      </c>
      <c r="AB12" s="81" t="s">
        <v>17</v>
      </c>
      <c r="AC12" s="81" t="s">
        <v>17</v>
      </c>
      <c r="AD12" s="81" t="s">
        <v>17</v>
      </c>
      <c r="AE12" s="81" t="s">
        <v>17</v>
      </c>
      <c r="AF12" s="81" t="s">
        <v>17</v>
      </c>
      <c r="AG12" s="81" t="s">
        <v>17</v>
      </c>
      <c r="AH12" s="81" t="s">
        <v>17</v>
      </c>
      <c r="AI12" s="81" t="s">
        <v>17</v>
      </c>
      <c r="AJ12" s="81" t="s">
        <v>17</v>
      </c>
      <c r="AK12" s="81" t="s">
        <v>17</v>
      </c>
      <c r="AL12" s="81" t="s">
        <v>17</v>
      </c>
      <c r="AM12" s="81" t="s">
        <v>17</v>
      </c>
      <c r="AN12" s="81" t="s">
        <v>17</v>
      </c>
      <c r="AO12" s="81" t="s">
        <v>17</v>
      </c>
      <c r="AP12" s="81" t="s">
        <v>17</v>
      </c>
      <c r="AQ12" s="81" t="s">
        <v>17</v>
      </c>
      <c r="AR12" s="81" t="s">
        <v>17</v>
      </c>
      <c r="AS12" s="81" t="s">
        <v>17</v>
      </c>
      <c r="AT12" s="81" t="s">
        <v>17</v>
      </c>
      <c r="AU12" s="81" t="s">
        <v>17</v>
      </c>
      <c r="AV12" s="81" t="s">
        <v>17</v>
      </c>
      <c r="AW12" s="81" t="s">
        <v>17</v>
      </c>
      <c r="AX12" s="81" t="s">
        <v>17</v>
      </c>
      <c r="AY12" s="81" t="s">
        <v>17</v>
      </c>
      <c r="AZ12" s="81" t="s">
        <v>17</v>
      </c>
      <c r="BA12" s="49"/>
    </row>
    <row r="13" spans="1:53" s="50" customFormat="1" ht="18" hidden="1" customHeight="1">
      <c r="A13" s="84" t="str">
        <f>'[1]370 Community Land Assets in or'!$A$10</f>
        <v>Banana Coffee Piggery</v>
      </c>
      <c r="B13" s="85" t="str">
        <f>IF('[1]370 Community Land Assets in or'!B15="","",'[1]370 Community Land Assets in or'!B15)</f>
        <v/>
      </c>
      <c r="C13" s="85" t="str">
        <f>IF('[1]370 Community Land Assets in or'!C16="","",'[1]370 Community Land Assets in or'!C16)</f>
        <v>Poor</v>
      </c>
      <c r="D13" s="47" t="str">
        <f t="shared" si="2"/>
        <v>Poor</v>
      </c>
      <c r="E13" s="81">
        <f>IF('[1]370 Community Land Assets in or'!D16="","",'[1]370 Community Land Assets in or'!D16)</f>
        <v>0.5</v>
      </c>
      <c r="F13" s="81">
        <f>IF('[1]370 Community Land Assets in or'!E16="","",'[1]370 Community Land Assets in or'!E16)</f>
        <v>0</v>
      </c>
      <c r="G13" s="81" t="str">
        <f>IF('[1]370 Community Land Assets in or'!F16="","",'[1]370 Community Land Assets in or'!F16)</f>
        <v/>
      </c>
      <c r="H13" s="81" t="str">
        <f>IF('[1]370 Community Land Assets in or'!G16="","",'[1]370 Community Land Assets in or'!G16)</f>
        <v/>
      </c>
      <c r="I13" s="81" t="s">
        <v>17</v>
      </c>
      <c r="J13" s="81" t="s">
        <v>17</v>
      </c>
      <c r="K13" s="81" t="s">
        <v>17</v>
      </c>
      <c r="L13" s="81" t="s">
        <v>17</v>
      </c>
      <c r="M13" s="81" t="s">
        <v>17</v>
      </c>
      <c r="N13" s="81" t="s">
        <v>17</v>
      </c>
      <c r="O13" s="81" t="s">
        <v>17</v>
      </c>
      <c r="P13" s="81" t="s">
        <v>17</v>
      </c>
      <c r="Q13" s="81" t="s">
        <v>17</v>
      </c>
      <c r="R13" s="81" t="s">
        <v>17</v>
      </c>
      <c r="S13" s="81" t="s">
        <v>17</v>
      </c>
      <c r="T13" s="81" t="s">
        <v>17</v>
      </c>
      <c r="U13" s="81" t="s">
        <v>17</v>
      </c>
      <c r="V13" s="81" t="s">
        <v>17</v>
      </c>
      <c r="W13" s="81" t="s">
        <v>17</v>
      </c>
      <c r="X13" s="81" t="s">
        <v>17</v>
      </c>
      <c r="Y13" s="81" t="s">
        <v>17</v>
      </c>
      <c r="Z13" s="81" t="s">
        <v>17</v>
      </c>
      <c r="AA13" s="81" t="s">
        <v>17</v>
      </c>
      <c r="AB13" s="81" t="s">
        <v>17</v>
      </c>
      <c r="AC13" s="81" t="s">
        <v>17</v>
      </c>
      <c r="AD13" s="81" t="s">
        <v>17</v>
      </c>
      <c r="AE13" s="81" t="s">
        <v>17</v>
      </c>
      <c r="AF13" s="81" t="s">
        <v>17</v>
      </c>
      <c r="AG13" s="81" t="s">
        <v>17</v>
      </c>
      <c r="AH13" s="81" t="s">
        <v>17</v>
      </c>
      <c r="AI13" s="81" t="s">
        <v>17</v>
      </c>
      <c r="AJ13" s="81" t="s">
        <v>17</v>
      </c>
      <c r="AK13" s="81" t="s">
        <v>17</v>
      </c>
      <c r="AL13" s="81" t="s">
        <v>17</v>
      </c>
      <c r="AM13" s="81" t="s">
        <v>17</v>
      </c>
      <c r="AN13" s="81" t="s">
        <v>17</v>
      </c>
      <c r="AO13" s="81" t="s">
        <v>17</v>
      </c>
      <c r="AP13" s="81" t="s">
        <v>17</v>
      </c>
      <c r="AQ13" s="81" t="s">
        <v>17</v>
      </c>
      <c r="AR13" s="81" t="s">
        <v>17</v>
      </c>
      <c r="AS13" s="81" t="s">
        <v>17</v>
      </c>
      <c r="AT13" s="81" t="s">
        <v>17</v>
      </c>
      <c r="AU13" s="81" t="s">
        <v>17</v>
      </c>
      <c r="AV13" s="81" t="s">
        <v>17</v>
      </c>
      <c r="AW13" s="81" t="s">
        <v>17</v>
      </c>
      <c r="AX13" s="81" t="s">
        <v>17</v>
      </c>
      <c r="AY13" s="81" t="s">
        <v>17</v>
      </c>
      <c r="AZ13" s="81" t="s">
        <v>17</v>
      </c>
      <c r="BA13" s="49"/>
    </row>
    <row r="14" spans="1:53" s="50" customFormat="1" ht="18" hidden="1" customHeight="1">
      <c r="A14" s="80" t="s">
        <v>27</v>
      </c>
      <c r="B14" s="85" t="str">
        <f>IF('[1]370 Community Land Assets in or'!B16="","",'[1]370 Community Land Assets in or'!B16)</f>
        <v>Mukono Nakisunga</v>
      </c>
      <c r="C14" s="85" t="str">
        <f>IF('[1]370 Community Land Assets in or'!C17="","",'[1]370 Community Land Assets in or'!C17)</f>
        <v>Middle</v>
      </c>
      <c r="D14" s="47" t="str">
        <f t="shared" si="2"/>
        <v>Middle      Mukono Nakisunga</v>
      </c>
      <c r="E14" s="81">
        <f>IF('[1]370 Community Land Assets in or'!D17="","",'[1]370 Community Land Assets in or'!D17)</f>
        <v>3</v>
      </c>
      <c r="F14" s="81">
        <f>IF('[1]370 Community Land Assets in or'!E17="","",'[1]370 Community Land Assets in or'!E17)</f>
        <v>0</v>
      </c>
      <c r="G14" s="81" t="str">
        <f>IF('[1]370 Community Land Assets in or'!F17="","",'[1]370 Community Land Assets in or'!F17)</f>
        <v/>
      </c>
      <c r="H14" s="81" t="str">
        <f>IF('[1]370 Community Land Assets in or'!G17="","",'[1]370 Community Land Assets in or'!G17)</f>
        <v/>
      </c>
      <c r="I14" s="81" t="s">
        <v>17</v>
      </c>
      <c r="J14" s="81" t="s">
        <v>17</v>
      </c>
      <c r="K14" s="81" t="s">
        <v>17</v>
      </c>
      <c r="L14" s="81" t="s">
        <v>17</v>
      </c>
      <c r="M14" s="81" t="s">
        <v>17</v>
      </c>
      <c r="N14" s="81" t="s">
        <v>17</v>
      </c>
      <c r="O14" s="81" t="s">
        <v>17</v>
      </c>
      <c r="P14" s="81" t="s">
        <v>17</v>
      </c>
      <c r="Q14" s="81" t="s">
        <v>17</v>
      </c>
      <c r="R14" s="81" t="s">
        <v>17</v>
      </c>
      <c r="S14" s="81" t="s">
        <v>17</v>
      </c>
      <c r="T14" s="81" t="s">
        <v>17</v>
      </c>
      <c r="U14" s="81" t="s">
        <v>17</v>
      </c>
      <c r="V14" s="81" t="s">
        <v>17</v>
      </c>
      <c r="W14" s="81" t="s">
        <v>17</v>
      </c>
      <c r="X14" s="81" t="s">
        <v>17</v>
      </c>
      <c r="Y14" s="81" t="s">
        <v>17</v>
      </c>
      <c r="Z14" s="81" t="s">
        <v>17</v>
      </c>
      <c r="AA14" s="81" t="s">
        <v>17</v>
      </c>
      <c r="AB14" s="81" t="s">
        <v>17</v>
      </c>
      <c r="AC14" s="81" t="s">
        <v>17</v>
      </c>
      <c r="AD14" s="81" t="s">
        <v>17</v>
      </c>
      <c r="AE14" s="81" t="s">
        <v>17</v>
      </c>
      <c r="AF14" s="81" t="s">
        <v>17</v>
      </c>
      <c r="AG14" s="81" t="s">
        <v>17</v>
      </c>
      <c r="AH14" s="81" t="s">
        <v>17</v>
      </c>
      <c r="AI14" s="81" t="s">
        <v>17</v>
      </c>
      <c r="AJ14" s="81" t="s">
        <v>17</v>
      </c>
      <c r="AK14" s="81" t="s">
        <v>17</v>
      </c>
      <c r="AL14" s="81" t="s">
        <v>17</v>
      </c>
      <c r="AM14" s="81" t="s">
        <v>17</v>
      </c>
      <c r="AN14" s="81" t="s">
        <v>17</v>
      </c>
      <c r="AO14" s="81" t="s">
        <v>17</v>
      </c>
      <c r="AP14" s="81" t="s">
        <v>17</v>
      </c>
      <c r="AQ14" s="81" t="s">
        <v>17</v>
      </c>
      <c r="AR14" s="81" t="s">
        <v>17</v>
      </c>
      <c r="AS14" s="81" t="s">
        <v>17</v>
      </c>
      <c r="AT14" s="81" t="s">
        <v>17</v>
      </c>
      <c r="AU14" s="81" t="s">
        <v>17</v>
      </c>
      <c r="AV14" s="81" t="s">
        <v>17</v>
      </c>
      <c r="AW14" s="81" t="s">
        <v>17</v>
      </c>
      <c r="AX14" s="81" t="s">
        <v>17</v>
      </c>
      <c r="AY14" s="81" t="s">
        <v>17</v>
      </c>
      <c r="AZ14" s="81" t="s">
        <v>17</v>
      </c>
      <c r="BA14" s="49"/>
    </row>
    <row r="15" spans="1:53" s="50" customFormat="1" ht="18" hidden="1" customHeight="1">
      <c r="A15" s="84" t="str">
        <f>'[1]370 Community Land Assets in or'!$B$2</f>
        <v>Acre</v>
      </c>
      <c r="B15" s="85" t="str">
        <f>IF('[1]370 Community Land Assets in or'!B17="","",'[1]370 Community Land Assets in or'!B17)</f>
        <v/>
      </c>
      <c r="C15" s="85" t="str">
        <f>IF('[1]370 Community Land Assets in or'!C18="","",'[1]370 Community Land Assets in or'!C18)</f>
        <v>Better Off</v>
      </c>
      <c r="D15" s="47" t="str">
        <f t="shared" si="2"/>
        <v>Better Off</v>
      </c>
      <c r="E15" s="81">
        <f>IF('[1]370 Community Land Assets in or'!D18="","",'[1]370 Community Land Assets in or'!D18)</f>
        <v>7</v>
      </c>
      <c r="F15" s="81">
        <f>IF('[1]370 Community Land Assets in or'!E18="","",'[1]370 Community Land Assets in or'!E18)</f>
        <v>0</v>
      </c>
      <c r="G15" s="81" t="str">
        <f>IF('[1]370 Community Land Assets in or'!F18="","",'[1]370 Community Land Assets in or'!F18)</f>
        <v/>
      </c>
      <c r="H15" s="81" t="str">
        <f>IF('[1]370 Community Land Assets in or'!G18="","",'[1]370 Community Land Assets in or'!G18)</f>
        <v/>
      </c>
      <c r="I15" s="81" t="s">
        <v>17</v>
      </c>
      <c r="J15" s="81" t="s">
        <v>17</v>
      </c>
      <c r="K15" s="81" t="s">
        <v>17</v>
      </c>
      <c r="L15" s="81" t="s">
        <v>17</v>
      </c>
      <c r="M15" s="81" t="s">
        <v>17</v>
      </c>
      <c r="N15" s="81" t="s">
        <v>17</v>
      </c>
      <c r="O15" s="81" t="s">
        <v>17</v>
      </c>
      <c r="P15" s="81" t="s">
        <v>17</v>
      </c>
      <c r="Q15" s="81" t="s">
        <v>17</v>
      </c>
      <c r="R15" s="81" t="s">
        <v>17</v>
      </c>
      <c r="S15" s="81" t="s">
        <v>17</v>
      </c>
      <c r="T15" s="81" t="s">
        <v>17</v>
      </c>
      <c r="U15" s="81" t="s">
        <v>17</v>
      </c>
      <c r="V15" s="81" t="s">
        <v>17</v>
      </c>
      <c r="W15" s="81" t="s">
        <v>17</v>
      </c>
      <c r="X15" s="81" t="s">
        <v>17</v>
      </c>
      <c r="Y15" s="81" t="s">
        <v>17</v>
      </c>
      <c r="Z15" s="81" t="s">
        <v>17</v>
      </c>
      <c r="AA15" s="81" t="s">
        <v>17</v>
      </c>
      <c r="AB15" s="81" t="s">
        <v>17</v>
      </c>
      <c r="AC15" s="81" t="s">
        <v>17</v>
      </c>
      <c r="AD15" s="81" t="s">
        <v>17</v>
      </c>
      <c r="AE15" s="81" t="s">
        <v>17</v>
      </c>
      <c r="AF15" s="81" t="s">
        <v>17</v>
      </c>
      <c r="AG15" s="81" t="s">
        <v>17</v>
      </c>
      <c r="AH15" s="81" t="s">
        <v>17</v>
      </c>
      <c r="AI15" s="81" t="s">
        <v>17</v>
      </c>
      <c r="AJ15" s="81" t="s">
        <v>17</v>
      </c>
      <c r="AK15" s="81" t="s">
        <v>17</v>
      </c>
      <c r="AL15" s="81" t="s">
        <v>17</v>
      </c>
      <c r="AM15" s="81" t="s">
        <v>17</v>
      </c>
      <c r="AN15" s="81" t="s">
        <v>17</v>
      </c>
      <c r="AO15" s="81" t="s">
        <v>17</v>
      </c>
      <c r="AP15" s="81" t="s">
        <v>17</v>
      </c>
      <c r="AQ15" s="81" t="s">
        <v>17</v>
      </c>
      <c r="AR15" s="81" t="s">
        <v>17</v>
      </c>
      <c r="AS15" s="81" t="s">
        <v>17</v>
      </c>
      <c r="AT15" s="81" t="s">
        <v>17</v>
      </c>
      <c r="AU15" s="81" t="s">
        <v>17</v>
      </c>
      <c r="AV15" s="81" t="s">
        <v>17</v>
      </c>
      <c r="AW15" s="81" t="s">
        <v>17</v>
      </c>
      <c r="AX15" s="81" t="s">
        <v>17</v>
      </c>
      <c r="AY15" s="81" t="s">
        <v>17</v>
      </c>
      <c r="AZ15" s="81" t="s">
        <v>17</v>
      </c>
      <c r="BA15" s="49"/>
    </row>
    <row r="16" spans="1:53" s="50" customFormat="1" ht="18" hidden="1" customHeight="1">
      <c r="B16" s="85" t="str">
        <f>IF('[1]370 Community Land Assets in or'!B18="","",'[1]370 Community Land Assets in or'!B18)</f>
        <v/>
      </c>
      <c r="C16" s="85" t="str">
        <f>IF('[1]370 Community Land Assets in or'!C19="","",'[1]370 Community Land Assets in or'!C19)</f>
        <v>Poor</v>
      </c>
      <c r="D16" s="47" t="str">
        <f t="shared" si="2"/>
        <v>Poor</v>
      </c>
      <c r="E16" s="81">
        <f>IF('[1]370 Community Land Assets in or'!D19="","",'[1]370 Community Land Assets in or'!D19)</f>
        <v>0</v>
      </c>
      <c r="F16" s="81">
        <f>IF('[1]370 Community Land Assets in or'!E19="","",'[1]370 Community Land Assets in or'!E19)</f>
        <v>0</v>
      </c>
      <c r="G16" s="81" t="str">
        <f>IF('[1]370 Community Land Assets in or'!F19="","",'[1]370 Community Land Assets in or'!F19)</f>
        <v/>
      </c>
      <c r="H16" s="81" t="str">
        <f>IF('[1]370 Community Land Assets in or'!G19="","",'[1]370 Community Land Assets in or'!G19)</f>
        <v/>
      </c>
      <c r="I16" s="81" t="s">
        <v>17</v>
      </c>
      <c r="J16" s="81" t="s">
        <v>17</v>
      </c>
      <c r="K16" s="81" t="s">
        <v>17</v>
      </c>
      <c r="L16" s="81" t="s">
        <v>17</v>
      </c>
      <c r="M16" s="81" t="s">
        <v>17</v>
      </c>
      <c r="N16" s="81" t="s">
        <v>17</v>
      </c>
      <c r="O16" s="81" t="s">
        <v>17</v>
      </c>
      <c r="P16" s="81" t="s">
        <v>17</v>
      </c>
      <c r="Q16" s="81" t="s">
        <v>17</v>
      </c>
      <c r="R16" s="81" t="s">
        <v>17</v>
      </c>
      <c r="S16" s="81" t="s">
        <v>17</v>
      </c>
      <c r="T16" s="81" t="s">
        <v>17</v>
      </c>
      <c r="U16" s="81" t="s">
        <v>17</v>
      </c>
      <c r="V16" s="81" t="s">
        <v>17</v>
      </c>
      <c r="W16" s="81" t="s">
        <v>17</v>
      </c>
      <c r="X16" s="81" t="s">
        <v>17</v>
      </c>
      <c r="Y16" s="81" t="s">
        <v>17</v>
      </c>
      <c r="Z16" s="81" t="s">
        <v>17</v>
      </c>
      <c r="AA16" s="81" t="s">
        <v>17</v>
      </c>
      <c r="AB16" s="81" t="s">
        <v>17</v>
      </c>
      <c r="AC16" s="81" t="s">
        <v>17</v>
      </c>
      <c r="AD16" s="81" t="s">
        <v>17</v>
      </c>
      <c r="AE16" s="81" t="s">
        <v>17</v>
      </c>
      <c r="AF16" s="81" t="s">
        <v>17</v>
      </c>
      <c r="AG16" s="81" t="s">
        <v>17</v>
      </c>
      <c r="AH16" s="81" t="s">
        <v>17</v>
      </c>
      <c r="AI16" s="81" t="s">
        <v>17</v>
      </c>
      <c r="AJ16" s="81" t="s">
        <v>17</v>
      </c>
      <c r="AK16" s="81" t="s">
        <v>17</v>
      </c>
      <c r="AL16" s="81" t="s">
        <v>17</v>
      </c>
      <c r="AM16" s="81" t="s">
        <v>17</v>
      </c>
      <c r="AN16" s="81" t="s">
        <v>17</v>
      </c>
      <c r="AO16" s="81" t="s">
        <v>17</v>
      </c>
      <c r="AP16" s="81" t="s">
        <v>17</v>
      </c>
      <c r="AQ16" s="81" t="s">
        <v>17</v>
      </c>
      <c r="AR16" s="81" t="s">
        <v>17</v>
      </c>
      <c r="AS16" s="81" t="s">
        <v>17</v>
      </c>
      <c r="AT16" s="81" t="s">
        <v>17</v>
      </c>
      <c r="AU16" s="81" t="s">
        <v>17</v>
      </c>
      <c r="AV16" s="81" t="s">
        <v>17</v>
      </c>
      <c r="AW16" s="81" t="s">
        <v>17</v>
      </c>
      <c r="AX16" s="81" t="s">
        <v>17</v>
      </c>
      <c r="AY16" s="81" t="s">
        <v>17</v>
      </c>
      <c r="AZ16" s="81" t="s">
        <v>17</v>
      </c>
      <c r="BA16" s="49"/>
    </row>
    <row r="17" spans="1:53" s="50" customFormat="1" ht="18" hidden="1" customHeight="1">
      <c r="A17" s="80" t="s">
        <v>47</v>
      </c>
      <c r="B17" s="85" t="str">
        <f>IF('[1]370 Community Land Assets in or'!B19="","",'[1]370 Community Land Assets in or'!B19)</f>
        <v>Mukono Ntenjeru</v>
      </c>
      <c r="C17" s="85" t="str">
        <f>IF('[1]370 Community Land Assets in or'!C20="","",'[1]370 Community Land Assets in or'!C20)</f>
        <v>Middle</v>
      </c>
      <c r="D17" s="47" t="str">
        <f t="shared" si="2"/>
        <v>Middle      Mukono Ntenjeru</v>
      </c>
      <c r="E17" s="81">
        <f>IF('[1]370 Community Land Assets in or'!D20="","",'[1]370 Community Land Assets in or'!D20)</f>
        <v>10</v>
      </c>
      <c r="F17" s="81">
        <f>IF('[1]370 Community Land Assets in or'!E20="","",'[1]370 Community Land Assets in or'!E20)</f>
        <v>0</v>
      </c>
      <c r="G17" s="81" t="str">
        <f>IF('[1]370 Community Land Assets in or'!F20="","",'[1]370 Community Land Assets in or'!F20)</f>
        <v/>
      </c>
      <c r="H17" s="81" t="str">
        <f>IF('[1]370 Community Land Assets in or'!G20="","",'[1]370 Community Land Assets in or'!G20)</f>
        <v/>
      </c>
      <c r="I17" s="81" t="s">
        <v>17</v>
      </c>
      <c r="J17" s="81" t="s">
        <v>17</v>
      </c>
      <c r="K17" s="81" t="s">
        <v>17</v>
      </c>
      <c r="L17" s="81" t="s">
        <v>17</v>
      </c>
      <c r="M17" s="81" t="s">
        <v>17</v>
      </c>
      <c r="N17" s="81" t="s">
        <v>17</v>
      </c>
      <c r="O17" s="81" t="s">
        <v>17</v>
      </c>
      <c r="P17" s="81" t="s">
        <v>17</v>
      </c>
      <c r="Q17" s="81" t="s">
        <v>17</v>
      </c>
      <c r="R17" s="81" t="s">
        <v>17</v>
      </c>
      <c r="S17" s="81" t="s">
        <v>17</v>
      </c>
      <c r="T17" s="81" t="s">
        <v>17</v>
      </c>
      <c r="U17" s="81" t="s">
        <v>17</v>
      </c>
      <c r="V17" s="81" t="s">
        <v>17</v>
      </c>
      <c r="W17" s="81" t="s">
        <v>17</v>
      </c>
      <c r="X17" s="81" t="s">
        <v>17</v>
      </c>
      <c r="Y17" s="81" t="s">
        <v>17</v>
      </c>
      <c r="Z17" s="81" t="s">
        <v>17</v>
      </c>
      <c r="AA17" s="81" t="s">
        <v>17</v>
      </c>
      <c r="AB17" s="81" t="s">
        <v>17</v>
      </c>
      <c r="AC17" s="81" t="s">
        <v>17</v>
      </c>
      <c r="AD17" s="81" t="s">
        <v>17</v>
      </c>
      <c r="AE17" s="81" t="s">
        <v>17</v>
      </c>
      <c r="AF17" s="81" t="s">
        <v>17</v>
      </c>
      <c r="AG17" s="81" t="s">
        <v>17</v>
      </c>
      <c r="AH17" s="81" t="s">
        <v>17</v>
      </c>
      <c r="AI17" s="81" t="s">
        <v>17</v>
      </c>
      <c r="AJ17" s="81" t="s">
        <v>17</v>
      </c>
      <c r="AK17" s="81" t="s">
        <v>17</v>
      </c>
      <c r="AL17" s="81" t="s">
        <v>17</v>
      </c>
      <c r="AM17" s="81" t="s">
        <v>17</v>
      </c>
      <c r="AN17" s="81" t="s">
        <v>17</v>
      </c>
      <c r="AO17" s="81" t="s">
        <v>17</v>
      </c>
      <c r="AP17" s="81" t="s">
        <v>17</v>
      </c>
      <c r="AQ17" s="81" t="s">
        <v>17</v>
      </c>
      <c r="AR17" s="81" t="s">
        <v>17</v>
      </c>
      <c r="AS17" s="81" t="s">
        <v>17</v>
      </c>
      <c r="AT17" s="81" t="s">
        <v>17</v>
      </c>
      <c r="AU17" s="81" t="s">
        <v>17</v>
      </c>
      <c r="AV17" s="81" t="s">
        <v>17</v>
      </c>
      <c r="AW17" s="81" t="s">
        <v>17</v>
      </c>
      <c r="AX17" s="81" t="s">
        <v>17</v>
      </c>
      <c r="AY17" s="81" t="s">
        <v>17</v>
      </c>
      <c r="AZ17" s="81" t="s">
        <v>17</v>
      </c>
      <c r="BA17" s="49"/>
    </row>
    <row r="18" spans="1:53" s="50" customFormat="1" ht="18" hidden="1" customHeight="1">
      <c r="A18" s="50" t="str">
        <f>_xlfn.CONCAT(A13," LZ, Land Assets (",A15,"s)")</f>
        <v>Banana Coffee Piggery LZ, Land Assets (Acres)</v>
      </c>
      <c r="B18" s="85" t="str">
        <f>IF('[1]370 Community Land Assets in or'!B20="","",'[1]370 Community Land Assets in or'!B20)</f>
        <v/>
      </c>
      <c r="C18" s="85" t="str">
        <f>IF('[1]370 Community Land Assets in or'!C21="","",'[1]370 Community Land Assets in or'!C21)</f>
        <v>Better Off</v>
      </c>
      <c r="D18" s="47" t="str">
        <f t="shared" si="2"/>
        <v>Better Off</v>
      </c>
      <c r="E18" s="81">
        <f>IF('[1]370 Community Land Assets in or'!D21="","",'[1]370 Community Land Assets in or'!D21)</f>
        <v>10</v>
      </c>
      <c r="F18" s="81">
        <f>IF('[1]370 Community Land Assets in or'!E21="","",'[1]370 Community Land Assets in or'!E21)</f>
        <v>0</v>
      </c>
      <c r="G18" s="81" t="str">
        <f>IF('[1]370 Community Land Assets in or'!F21="","",'[1]370 Community Land Assets in or'!F21)</f>
        <v/>
      </c>
      <c r="H18" s="81" t="str">
        <f>IF('[1]370 Community Land Assets in or'!G21="","",'[1]370 Community Land Assets in or'!G21)</f>
        <v/>
      </c>
      <c r="I18" s="81" t="s">
        <v>17</v>
      </c>
      <c r="J18" s="81" t="s">
        <v>17</v>
      </c>
      <c r="K18" s="81" t="s">
        <v>17</v>
      </c>
      <c r="L18" s="81" t="s">
        <v>17</v>
      </c>
      <c r="M18" s="81" t="s">
        <v>17</v>
      </c>
      <c r="N18" s="81" t="s">
        <v>17</v>
      </c>
      <c r="O18" s="81" t="s">
        <v>17</v>
      </c>
      <c r="P18" s="81" t="s">
        <v>17</v>
      </c>
      <c r="Q18" s="81" t="s">
        <v>17</v>
      </c>
      <c r="R18" s="81" t="s">
        <v>17</v>
      </c>
      <c r="S18" s="81" t="s">
        <v>17</v>
      </c>
      <c r="T18" s="81" t="s">
        <v>17</v>
      </c>
      <c r="U18" s="81" t="s">
        <v>17</v>
      </c>
      <c r="V18" s="81" t="s">
        <v>17</v>
      </c>
      <c r="W18" s="81" t="s">
        <v>17</v>
      </c>
      <c r="X18" s="81" t="s">
        <v>17</v>
      </c>
      <c r="Y18" s="81" t="s">
        <v>17</v>
      </c>
      <c r="Z18" s="81" t="s">
        <v>17</v>
      </c>
      <c r="AA18" s="81" t="s">
        <v>17</v>
      </c>
      <c r="AB18" s="81" t="s">
        <v>17</v>
      </c>
      <c r="AC18" s="81" t="s">
        <v>17</v>
      </c>
      <c r="AD18" s="81" t="s">
        <v>17</v>
      </c>
      <c r="AE18" s="81" t="s">
        <v>17</v>
      </c>
      <c r="AF18" s="81" t="s">
        <v>17</v>
      </c>
      <c r="AG18" s="81" t="s">
        <v>17</v>
      </c>
      <c r="AH18" s="81" t="s">
        <v>17</v>
      </c>
      <c r="AI18" s="81" t="s">
        <v>17</v>
      </c>
      <c r="AJ18" s="81" t="s">
        <v>17</v>
      </c>
      <c r="AK18" s="81" t="s">
        <v>17</v>
      </c>
      <c r="AL18" s="81" t="s">
        <v>17</v>
      </c>
      <c r="AM18" s="81" t="s">
        <v>17</v>
      </c>
      <c r="AN18" s="81" t="s">
        <v>17</v>
      </c>
      <c r="AO18" s="81" t="s">
        <v>17</v>
      </c>
      <c r="AP18" s="81" t="s">
        <v>17</v>
      </c>
      <c r="AQ18" s="81" t="s">
        <v>17</v>
      </c>
      <c r="AR18" s="81" t="s">
        <v>17</v>
      </c>
      <c r="AS18" s="81" t="s">
        <v>17</v>
      </c>
      <c r="AT18" s="81" t="s">
        <v>17</v>
      </c>
      <c r="AU18" s="81" t="s">
        <v>17</v>
      </c>
      <c r="AV18" s="81" t="s">
        <v>17</v>
      </c>
      <c r="AW18" s="81" t="s">
        <v>17</v>
      </c>
      <c r="AX18" s="81" t="s">
        <v>17</v>
      </c>
      <c r="AY18" s="81" t="s">
        <v>17</v>
      </c>
      <c r="AZ18" s="81" t="s">
        <v>17</v>
      </c>
      <c r="BA18" s="49"/>
    </row>
    <row r="19" spans="1:53" s="50" customFormat="1" ht="18" hidden="1" customHeight="1">
      <c r="B19" s="85" t="str">
        <f>IF('[1]370 Community Land Assets in or'!B21="","",'[1]370 Community Land Assets in or'!B21)</f>
        <v/>
      </c>
      <c r="C19" s="85" t="str">
        <f>IF('[1]370 Community Land Assets in or'!C22="","",'[1]370 Community Land Assets in or'!C22)</f>
        <v/>
      </c>
      <c r="D19" s="47" t="str">
        <f t="shared" si="2"/>
        <v/>
      </c>
      <c r="E19" s="81" t="str">
        <f>IF('[1]370 Community Land Assets in or'!D22="","",'[1]370 Community Land Assets in or'!D22)</f>
        <v/>
      </c>
      <c r="F19" s="81" t="str">
        <f>IF('[1]370 Community Land Assets in or'!E22="","",'[1]370 Community Land Assets in or'!E22)</f>
        <v/>
      </c>
      <c r="G19" s="81" t="str">
        <f>IF('[1]370 Community Land Assets in or'!F22="","",'[1]370 Community Land Assets in or'!F22)</f>
        <v/>
      </c>
      <c r="H19" s="81" t="str">
        <f>IF('[1]370 Community Land Assets in or'!G22="","",'[1]370 Community Land Assets in or'!G22)</f>
        <v/>
      </c>
      <c r="I19" s="81" t="s">
        <v>17</v>
      </c>
      <c r="J19" s="81" t="s">
        <v>17</v>
      </c>
      <c r="K19" s="81" t="s">
        <v>17</v>
      </c>
      <c r="L19" s="81" t="s">
        <v>17</v>
      </c>
      <c r="M19" s="81" t="s">
        <v>17</v>
      </c>
      <c r="N19" s="81" t="s">
        <v>17</v>
      </c>
      <c r="O19" s="81" t="s">
        <v>17</v>
      </c>
      <c r="P19" s="81" t="s">
        <v>17</v>
      </c>
      <c r="Q19" s="81" t="s">
        <v>17</v>
      </c>
      <c r="R19" s="81" t="s">
        <v>17</v>
      </c>
      <c r="S19" s="81" t="s">
        <v>17</v>
      </c>
      <c r="T19" s="81" t="s">
        <v>17</v>
      </c>
      <c r="U19" s="81" t="s">
        <v>17</v>
      </c>
      <c r="V19" s="81" t="s">
        <v>17</v>
      </c>
      <c r="W19" s="81" t="s">
        <v>17</v>
      </c>
      <c r="X19" s="81" t="s">
        <v>17</v>
      </c>
      <c r="Y19" s="81" t="s">
        <v>17</v>
      </c>
      <c r="Z19" s="81" t="s">
        <v>17</v>
      </c>
      <c r="AA19" s="81" t="s">
        <v>17</v>
      </c>
      <c r="AB19" s="81" t="s">
        <v>17</v>
      </c>
      <c r="AC19" s="81" t="s">
        <v>17</v>
      </c>
      <c r="AD19" s="81" t="s">
        <v>17</v>
      </c>
      <c r="AE19" s="81" t="s">
        <v>17</v>
      </c>
      <c r="AF19" s="81" t="s">
        <v>17</v>
      </c>
      <c r="AG19" s="81" t="s">
        <v>17</v>
      </c>
      <c r="AH19" s="81" t="s">
        <v>17</v>
      </c>
      <c r="AI19" s="81" t="s">
        <v>17</v>
      </c>
      <c r="AJ19" s="81" t="s">
        <v>17</v>
      </c>
      <c r="AK19" s="81" t="s">
        <v>17</v>
      </c>
      <c r="AL19" s="81" t="s">
        <v>17</v>
      </c>
      <c r="AM19" s="81" t="s">
        <v>17</v>
      </c>
      <c r="AN19" s="81" t="s">
        <v>17</v>
      </c>
      <c r="AO19" s="81" t="s">
        <v>17</v>
      </c>
      <c r="AP19" s="81" t="s">
        <v>17</v>
      </c>
      <c r="AQ19" s="81" t="s">
        <v>17</v>
      </c>
      <c r="AR19" s="81" t="s">
        <v>17</v>
      </c>
      <c r="AS19" s="81" t="s">
        <v>17</v>
      </c>
      <c r="AT19" s="81" t="s">
        <v>17</v>
      </c>
      <c r="AU19" s="81" t="s">
        <v>17</v>
      </c>
      <c r="AV19" s="81" t="s">
        <v>17</v>
      </c>
      <c r="AW19" s="81" t="s">
        <v>17</v>
      </c>
      <c r="AX19" s="81" t="s">
        <v>17</v>
      </c>
      <c r="AY19" s="81" t="s">
        <v>17</v>
      </c>
      <c r="AZ19" s="81" t="s">
        <v>17</v>
      </c>
      <c r="BA19" s="49"/>
    </row>
    <row r="20" spans="1:53" s="50" customFormat="1" ht="18" hidden="1" customHeight="1">
      <c r="A20" s="80" t="s">
        <v>48</v>
      </c>
      <c r="B20" s="85" t="str">
        <f>IF('[1]370 Community Land Assets in or'!B22="","",'[1]370 Community Land Assets in or'!B22)</f>
        <v/>
      </c>
      <c r="C20" s="85" t="str">
        <f>IF('[1]370 Community Land Assets in or'!C23="","",'[1]370 Community Land Assets in or'!C23)</f>
        <v/>
      </c>
      <c r="D20" s="47" t="str">
        <f t="shared" si="2"/>
        <v/>
      </c>
      <c r="E20" s="81" t="str">
        <f>IF('[1]370 Community Land Assets in or'!D23="","",'[1]370 Community Land Assets in or'!D23)</f>
        <v/>
      </c>
      <c r="F20" s="81" t="str">
        <f>IF('[1]370 Community Land Assets in or'!E23="","",'[1]370 Community Land Assets in or'!E23)</f>
        <v/>
      </c>
      <c r="G20" s="81" t="str">
        <f>IF('[1]370 Community Land Assets in or'!F23="","",'[1]370 Community Land Assets in or'!F23)</f>
        <v/>
      </c>
      <c r="H20" s="81" t="str">
        <f>IF('[1]370 Community Land Assets in or'!G23="","",'[1]370 Community Land Assets in or'!G23)</f>
        <v/>
      </c>
      <c r="I20" s="81" t="s">
        <v>17</v>
      </c>
      <c r="J20" s="81" t="s">
        <v>17</v>
      </c>
      <c r="K20" s="81" t="s">
        <v>17</v>
      </c>
      <c r="L20" s="81" t="s">
        <v>17</v>
      </c>
      <c r="M20" s="81" t="s">
        <v>17</v>
      </c>
      <c r="N20" s="81" t="s">
        <v>17</v>
      </c>
      <c r="O20" s="81" t="s">
        <v>17</v>
      </c>
      <c r="P20" s="81" t="s">
        <v>17</v>
      </c>
      <c r="Q20" s="81" t="s">
        <v>17</v>
      </c>
      <c r="R20" s="81" t="s">
        <v>17</v>
      </c>
      <c r="S20" s="81" t="s">
        <v>17</v>
      </c>
      <c r="T20" s="81" t="s">
        <v>17</v>
      </c>
      <c r="U20" s="81" t="s">
        <v>17</v>
      </c>
      <c r="V20" s="81" t="s">
        <v>17</v>
      </c>
      <c r="W20" s="81" t="s">
        <v>17</v>
      </c>
      <c r="X20" s="81" t="s">
        <v>17</v>
      </c>
      <c r="Y20" s="81" t="s">
        <v>17</v>
      </c>
      <c r="Z20" s="81" t="s">
        <v>17</v>
      </c>
      <c r="AA20" s="81" t="s">
        <v>17</v>
      </c>
      <c r="AB20" s="81" t="s">
        <v>17</v>
      </c>
      <c r="AC20" s="81" t="s">
        <v>17</v>
      </c>
      <c r="AD20" s="81" t="s">
        <v>17</v>
      </c>
      <c r="AE20" s="81" t="s">
        <v>17</v>
      </c>
      <c r="AF20" s="81" t="s">
        <v>17</v>
      </c>
      <c r="AG20" s="81" t="s">
        <v>17</v>
      </c>
      <c r="AH20" s="81" t="s">
        <v>17</v>
      </c>
      <c r="AI20" s="81" t="s">
        <v>17</v>
      </c>
      <c r="AJ20" s="81" t="s">
        <v>17</v>
      </c>
      <c r="AK20" s="81" t="s">
        <v>17</v>
      </c>
      <c r="AL20" s="81" t="s">
        <v>17</v>
      </c>
      <c r="AM20" s="81" t="s">
        <v>17</v>
      </c>
      <c r="AN20" s="81" t="s">
        <v>17</v>
      </c>
      <c r="AO20" s="81" t="s">
        <v>17</v>
      </c>
      <c r="AP20" s="81" t="s">
        <v>17</v>
      </c>
      <c r="AQ20" s="81" t="s">
        <v>17</v>
      </c>
      <c r="AR20" s="81" t="s">
        <v>17</v>
      </c>
      <c r="AS20" s="81" t="s">
        <v>17</v>
      </c>
      <c r="AT20" s="81" t="s">
        <v>17</v>
      </c>
      <c r="AU20" s="81" t="s">
        <v>17</v>
      </c>
      <c r="AV20" s="81" t="s">
        <v>17</v>
      </c>
      <c r="AW20" s="81" t="s">
        <v>17</v>
      </c>
      <c r="AX20" s="81" t="s">
        <v>17</v>
      </c>
      <c r="AY20" s="81" t="s">
        <v>17</v>
      </c>
      <c r="AZ20" s="81" t="s">
        <v>17</v>
      </c>
      <c r="BA20" s="49"/>
    </row>
    <row r="21" spans="1:53" s="50" customFormat="1" ht="18" hidden="1" customHeight="1">
      <c r="A21" s="50" t="str">
        <f>_xlfn.CONCAT(A13," LZ, Average Land Assets (",A15,"s)")</f>
        <v>Banana Coffee Piggery LZ, Average Land Assets (Acres)</v>
      </c>
      <c r="B21" s="85" t="str">
        <f>IF('[1]370 Community Land Assets in or'!B23="","",'[1]370 Community Land Assets in or'!B23)</f>
        <v/>
      </c>
      <c r="C21" s="85" t="str">
        <f>IF('[1]370 Community Land Assets in or'!C24="","",'[1]370 Community Land Assets in or'!C24)</f>
        <v/>
      </c>
      <c r="D21" s="47" t="str">
        <f t="shared" si="2"/>
        <v/>
      </c>
      <c r="E21" s="81" t="str">
        <f>IF('[1]370 Community Land Assets in or'!D24="","",'[1]370 Community Land Assets in or'!D24)</f>
        <v/>
      </c>
      <c r="F21" s="81" t="str">
        <f>IF('[1]370 Community Land Assets in or'!E24="","",'[1]370 Community Land Assets in or'!E24)</f>
        <v/>
      </c>
      <c r="G21" s="81" t="str">
        <f>IF('[1]370 Community Land Assets in or'!F24="","",'[1]370 Community Land Assets in or'!F24)</f>
        <v/>
      </c>
      <c r="H21" s="81" t="str">
        <f>IF('[1]370 Community Land Assets in or'!G24="","",'[1]370 Community Land Assets in or'!G24)</f>
        <v/>
      </c>
      <c r="I21" s="81" t="s">
        <v>17</v>
      </c>
      <c r="J21" s="81" t="s">
        <v>17</v>
      </c>
      <c r="K21" s="81" t="s">
        <v>17</v>
      </c>
      <c r="L21" s="81" t="s">
        <v>17</v>
      </c>
      <c r="M21" s="81" t="s">
        <v>17</v>
      </c>
      <c r="N21" s="81" t="s">
        <v>17</v>
      </c>
      <c r="O21" s="81" t="s">
        <v>17</v>
      </c>
      <c r="P21" s="81" t="s">
        <v>17</v>
      </c>
      <c r="Q21" s="81" t="s">
        <v>17</v>
      </c>
      <c r="R21" s="81" t="s">
        <v>17</v>
      </c>
      <c r="S21" s="81" t="s">
        <v>17</v>
      </c>
      <c r="T21" s="81" t="s">
        <v>17</v>
      </c>
      <c r="U21" s="81" t="s">
        <v>17</v>
      </c>
      <c r="V21" s="81" t="s">
        <v>17</v>
      </c>
      <c r="W21" s="81" t="s">
        <v>17</v>
      </c>
      <c r="X21" s="81" t="s">
        <v>17</v>
      </c>
      <c r="Y21" s="81" t="s">
        <v>17</v>
      </c>
      <c r="Z21" s="81" t="s">
        <v>17</v>
      </c>
      <c r="AA21" s="81" t="s">
        <v>17</v>
      </c>
      <c r="AB21" s="81" t="s">
        <v>17</v>
      </c>
      <c r="AC21" s="81" t="s">
        <v>17</v>
      </c>
      <c r="AD21" s="81" t="s">
        <v>17</v>
      </c>
      <c r="AE21" s="81" t="s">
        <v>17</v>
      </c>
      <c r="AF21" s="81" t="s">
        <v>17</v>
      </c>
      <c r="AG21" s="81" t="s">
        <v>17</v>
      </c>
      <c r="AH21" s="81" t="s">
        <v>17</v>
      </c>
      <c r="AI21" s="81" t="s">
        <v>17</v>
      </c>
      <c r="AJ21" s="81" t="s">
        <v>17</v>
      </c>
      <c r="AK21" s="81" t="s">
        <v>17</v>
      </c>
      <c r="AL21" s="81" t="s">
        <v>17</v>
      </c>
      <c r="AM21" s="81" t="s">
        <v>17</v>
      </c>
      <c r="AN21" s="81" t="s">
        <v>17</v>
      </c>
      <c r="AO21" s="81" t="s">
        <v>17</v>
      </c>
      <c r="AP21" s="81" t="s">
        <v>17</v>
      </c>
      <c r="AQ21" s="81" t="s">
        <v>17</v>
      </c>
      <c r="AR21" s="81" t="s">
        <v>17</v>
      </c>
      <c r="AS21" s="81" t="s">
        <v>17</v>
      </c>
      <c r="AT21" s="81" t="s">
        <v>17</v>
      </c>
      <c r="AU21" s="81" t="s">
        <v>17</v>
      </c>
      <c r="AV21" s="81" t="s">
        <v>17</v>
      </c>
      <c r="AW21" s="81" t="s">
        <v>17</v>
      </c>
      <c r="AX21" s="81" t="s">
        <v>17</v>
      </c>
      <c r="AY21" s="81" t="s">
        <v>17</v>
      </c>
      <c r="AZ21" s="81" t="s">
        <v>17</v>
      </c>
      <c r="BA21" s="49"/>
    </row>
    <row r="22" spans="1:53" s="50" customFormat="1" ht="18" hidden="1" customHeight="1">
      <c r="B22" s="85" t="str">
        <f>IF('[1]370 Community Land Assets in or'!B24="","",'[1]370 Community Land Assets in or'!B24)</f>
        <v/>
      </c>
      <c r="C22" s="85" t="str">
        <f>IF('[1]370 Community Land Assets in or'!C25="","",'[1]370 Community Land Assets in or'!C25)</f>
        <v/>
      </c>
      <c r="D22" s="47" t="str">
        <f t="shared" si="2"/>
        <v/>
      </c>
      <c r="E22" s="81" t="str">
        <f>IF('[1]370 Community Land Assets in or'!D25="","",'[1]370 Community Land Assets in or'!D25)</f>
        <v/>
      </c>
      <c r="F22" s="81" t="str">
        <f>IF('[1]370 Community Land Assets in or'!E25="","",'[1]370 Community Land Assets in or'!E25)</f>
        <v/>
      </c>
      <c r="G22" s="81" t="str">
        <f>IF('[1]370 Community Land Assets in or'!F25="","",'[1]370 Community Land Assets in or'!F25)</f>
        <v/>
      </c>
      <c r="H22" s="81" t="str">
        <f>IF('[1]370 Community Land Assets in or'!G25="","",'[1]370 Community Land Assets in or'!G25)</f>
        <v/>
      </c>
      <c r="I22" s="81" t="s">
        <v>17</v>
      </c>
      <c r="J22" s="81" t="s">
        <v>17</v>
      </c>
      <c r="K22" s="81" t="s">
        <v>17</v>
      </c>
      <c r="L22" s="81" t="s">
        <v>17</v>
      </c>
      <c r="M22" s="81" t="s">
        <v>17</v>
      </c>
      <c r="N22" s="81" t="s">
        <v>17</v>
      </c>
      <c r="O22" s="81" t="s">
        <v>17</v>
      </c>
      <c r="P22" s="81" t="s">
        <v>17</v>
      </c>
      <c r="Q22" s="81" t="s">
        <v>17</v>
      </c>
      <c r="R22" s="81" t="s">
        <v>17</v>
      </c>
      <c r="S22" s="81" t="s">
        <v>17</v>
      </c>
      <c r="T22" s="81" t="s">
        <v>17</v>
      </c>
      <c r="U22" s="81" t="s">
        <v>17</v>
      </c>
      <c r="V22" s="81" t="s">
        <v>17</v>
      </c>
      <c r="W22" s="81" t="s">
        <v>17</v>
      </c>
      <c r="X22" s="81" t="s">
        <v>17</v>
      </c>
      <c r="Y22" s="81" t="s">
        <v>17</v>
      </c>
      <c r="Z22" s="81" t="s">
        <v>17</v>
      </c>
      <c r="AA22" s="81" t="s">
        <v>17</v>
      </c>
      <c r="AB22" s="81" t="s">
        <v>17</v>
      </c>
      <c r="AC22" s="81" t="s">
        <v>17</v>
      </c>
      <c r="AD22" s="81" t="s">
        <v>17</v>
      </c>
      <c r="AE22" s="81" t="s">
        <v>17</v>
      </c>
      <c r="AF22" s="81" t="s">
        <v>17</v>
      </c>
      <c r="AG22" s="81" t="s">
        <v>17</v>
      </c>
      <c r="AH22" s="81" t="s">
        <v>17</v>
      </c>
      <c r="AI22" s="81" t="s">
        <v>17</v>
      </c>
      <c r="AJ22" s="81" t="s">
        <v>17</v>
      </c>
      <c r="AK22" s="81" t="s">
        <v>17</v>
      </c>
      <c r="AL22" s="81" t="s">
        <v>17</v>
      </c>
      <c r="AM22" s="81" t="s">
        <v>17</v>
      </c>
      <c r="AN22" s="81" t="s">
        <v>17</v>
      </c>
      <c r="AO22" s="81" t="s">
        <v>17</v>
      </c>
      <c r="AP22" s="81" t="s">
        <v>17</v>
      </c>
      <c r="AQ22" s="81" t="s">
        <v>17</v>
      </c>
      <c r="AR22" s="81" t="s">
        <v>17</v>
      </c>
      <c r="AS22" s="81" t="s">
        <v>17</v>
      </c>
      <c r="AT22" s="81" t="s">
        <v>17</v>
      </c>
      <c r="AU22" s="81" t="s">
        <v>17</v>
      </c>
      <c r="AV22" s="81" t="s">
        <v>17</v>
      </c>
      <c r="AW22" s="81" t="s">
        <v>17</v>
      </c>
      <c r="AX22" s="81" t="s">
        <v>17</v>
      </c>
      <c r="AY22" s="81" t="s">
        <v>17</v>
      </c>
      <c r="AZ22" s="81" t="s">
        <v>17</v>
      </c>
      <c r="BA22" s="49"/>
    </row>
    <row r="23" spans="1:53" s="50" customFormat="1" ht="18" hidden="1" customHeight="1">
      <c r="B23" s="85" t="str">
        <f>IF('[1]370 Community Land Assets in or'!B25="","",'[1]370 Community Land Assets in or'!B25)</f>
        <v/>
      </c>
      <c r="C23" s="85" t="str">
        <f>IF('[1]370 Community Land Assets in or'!C26="","",'[1]370 Community Land Assets in or'!C26)</f>
        <v/>
      </c>
      <c r="D23" s="47" t="str">
        <f t="shared" si="2"/>
        <v/>
      </c>
      <c r="E23" s="81" t="str">
        <f>IF('[1]370 Community Land Assets in or'!D26="","",'[1]370 Community Land Assets in or'!D26)</f>
        <v/>
      </c>
      <c r="F23" s="81" t="str">
        <f>IF('[1]370 Community Land Assets in or'!E26="","",'[1]370 Community Land Assets in or'!E26)</f>
        <v/>
      </c>
      <c r="G23" s="81" t="str">
        <f>IF('[1]370 Community Land Assets in or'!F26="","",'[1]370 Community Land Assets in or'!F26)</f>
        <v/>
      </c>
      <c r="H23" s="81" t="str">
        <f>IF('[1]370 Community Land Assets in or'!G26="","",'[1]370 Community Land Assets in or'!G26)</f>
        <v/>
      </c>
      <c r="I23" s="81" t="s">
        <v>17</v>
      </c>
      <c r="J23" s="81" t="s">
        <v>17</v>
      </c>
      <c r="K23" s="81" t="s">
        <v>17</v>
      </c>
      <c r="L23" s="81" t="s">
        <v>17</v>
      </c>
      <c r="M23" s="81" t="s">
        <v>17</v>
      </c>
      <c r="N23" s="81" t="s">
        <v>17</v>
      </c>
      <c r="O23" s="81" t="s">
        <v>17</v>
      </c>
      <c r="P23" s="81" t="s">
        <v>17</v>
      </c>
      <c r="Q23" s="81" t="s">
        <v>17</v>
      </c>
      <c r="R23" s="81" t="s">
        <v>17</v>
      </c>
      <c r="S23" s="81" t="s">
        <v>17</v>
      </c>
      <c r="T23" s="81" t="s">
        <v>17</v>
      </c>
      <c r="U23" s="81" t="s">
        <v>17</v>
      </c>
      <c r="V23" s="81" t="s">
        <v>17</v>
      </c>
      <c r="W23" s="81" t="s">
        <v>17</v>
      </c>
      <c r="X23" s="81" t="s">
        <v>17</v>
      </c>
      <c r="Y23" s="81" t="s">
        <v>17</v>
      </c>
      <c r="Z23" s="81" t="s">
        <v>17</v>
      </c>
      <c r="AA23" s="81" t="s">
        <v>17</v>
      </c>
      <c r="AB23" s="81" t="s">
        <v>17</v>
      </c>
      <c r="AC23" s="81" t="s">
        <v>17</v>
      </c>
      <c r="AD23" s="81" t="s">
        <v>17</v>
      </c>
      <c r="AE23" s="81" t="s">
        <v>17</v>
      </c>
      <c r="AF23" s="81" t="s">
        <v>17</v>
      </c>
      <c r="AG23" s="81" t="s">
        <v>17</v>
      </c>
      <c r="AH23" s="81" t="s">
        <v>17</v>
      </c>
      <c r="AI23" s="81" t="s">
        <v>17</v>
      </c>
      <c r="AJ23" s="81" t="s">
        <v>17</v>
      </c>
      <c r="AK23" s="81" t="s">
        <v>17</v>
      </c>
      <c r="AL23" s="81" t="s">
        <v>17</v>
      </c>
      <c r="AM23" s="81" t="s">
        <v>17</v>
      </c>
      <c r="AN23" s="81" t="s">
        <v>17</v>
      </c>
      <c r="AO23" s="81" t="s">
        <v>17</v>
      </c>
      <c r="AP23" s="81" t="s">
        <v>17</v>
      </c>
      <c r="AQ23" s="81" t="s">
        <v>17</v>
      </c>
      <c r="AR23" s="81" t="s">
        <v>17</v>
      </c>
      <c r="AS23" s="81" t="s">
        <v>17</v>
      </c>
      <c r="AT23" s="81" t="s">
        <v>17</v>
      </c>
      <c r="AU23" s="81" t="s">
        <v>17</v>
      </c>
      <c r="AV23" s="81" t="s">
        <v>17</v>
      </c>
      <c r="AW23" s="81" t="s">
        <v>17</v>
      </c>
      <c r="AX23" s="81" t="s">
        <v>17</v>
      </c>
      <c r="AY23" s="81" t="s">
        <v>17</v>
      </c>
      <c r="AZ23" s="81" t="s">
        <v>17</v>
      </c>
      <c r="BA23" s="49"/>
    </row>
    <row r="24" spans="1:53" s="50" customFormat="1" ht="18" hidden="1" customHeight="1">
      <c r="B24" s="85" t="str">
        <f>IF('[1]370 Community Land Assets in or'!B26="","",'[1]370 Community Land Assets in or'!B26)</f>
        <v/>
      </c>
      <c r="C24" s="85" t="str">
        <f>IF('[1]370 Community Land Assets in or'!C27="","",'[1]370 Community Land Assets in or'!C27)</f>
        <v/>
      </c>
      <c r="D24" s="47" t="str">
        <f t="shared" si="2"/>
        <v/>
      </c>
      <c r="E24" s="81" t="str">
        <f>IF('[1]370 Community Land Assets in or'!D27="","",'[1]370 Community Land Assets in or'!D27)</f>
        <v/>
      </c>
      <c r="F24" s="81" t="str">
        <f>IF('[1]370 Community Land Assets in or'!E27="","",'[1]370 Community Land Assets in or'!E27)</f>
        <v/>
      </c>
      <c r="G24" s="81" t="str">
        <f>IF('[1]370 Community Land Assets in or'!F27="","",'[1]370 Community Land Assets in or'!F27)</f>
        <v/>
      </c>
      <c r="H24" s="81" t="str">
        <f>IF('[1]370 Community Land Assets in or'!G27="","",'[1]370 Community Land Assets in or'!G27)</f>
        <v/>
      </c>
      <c r="I24" s="81" t="s">
        <v>17</v>
      </c>
      <c r="J24" s="81" t="s">
        <v>17</v>
      </c>
      <c r="K24" s="81" t="s">
        <v>17</v>
      </c>
      <c r="L24" s="81" t="s">
        <v>17</v>
      </c>
      <c r="M24" s="81" t="s">
        <v>17</v>
      </c>
      <c r="N24" s="81" t="s">
        <v>17</v>
      </c>
      <c r="O24" s="81" t="s">
        <v>17</v>
      </c>
      <c r="P24" s="81" t="s">
        <v>17</v>
      </c>
      <c r="Q24" s="81" t="s">
        <v>17</v>
      </c>
      <c r="R24" s="81" t="s">
        <v>17</v>
      </c>
      <c r="S24" s="81" t="s">
        <v>17</v>
      </c>
      <c r="T24" s="81" t="s">
        <v>17</v>
      </c>
      <c r="U24" s="81" t="s">
        <v>17</v>
      </c>
      <c r="V24" s="81" t="s">
        <v>17</v>
      </c>
      <c r="W24" s="81" t="s">
        <v>17</v>
      </c>
      <c r="X24" s="81" t="s">
        <v>17</v>
      </c>
      <c r="Y24" s="81" t="s">
        <v>17</v>
      </c>
      <c r="Z24" s="81" t="s">
        <v>17</v>
      </c>
      <c r="AA24" s="81" t="s">
        <v>17</v>
      </c>
      <c r="AB24" s="81" t="s">
        <v>17</v>
      </c>
      <c r="AC24" s="81" t="s">
        <v>17</v>
      </c>
      <c r="AD24" s="81" t="s">
        <v>17</v>
      </c>
      <c r="AE24" s="81" t="s">
        <v>17</v>
      </c>
      <c r="AF24" s="81" t="s">
        <v>17</v>
      </c>
      <c r="AG24" s="81" t="s">
        <v>17</v>
      </c>
      <c r="AH24" s="81" t="s">
        <v>17</v>
      </c>
      <c r="AI24" s="81" t="s">
        <v>17</v>
      </c>
      <c r="AJ24" s="81" t="s">
        <v>17</v>
      </c>
      <c r="AK24" s="81" t="s">
        <v>17</v>
      </c>
      <c r="AL24" s="81" t="s">
        <v>17</v>
      </c>
      <c r="AM24" s="81" t="s">
        <v>17</v>
      </c>
      <c r="AN24" s="81" t="s">
        <v>17</v>
      </c>
      <c r="AO24" s="81" t="s">
        <v>17</v>
      </c>
      <c r="AP24" s="81" t="s">
        <v>17</v>
      </c>
      <c r="AQ24" s="81" t="s">
        <v>17</v>
      </c>
      <c r="AR24" s="81" t="s">
        <v>17</v>
      </c>
      <c r="AS24" s="81" t="s">
        <v>17</v>
      </c>
      <c r="AT24" s="81" t="s">
        <v>17</v>
      </c>
      <c r="AU24" s="81" t="s">
        <v>17</v>
      </c>
      <c r="AV24" s="81" t="s">
        <v>17</v>
      </c>
      <c r="AW24" s="81" t="s">
        <v>17</v>
      </c>
      <c r="AX24" s="81" t="s">
        <v>17</v>
      </c>
      <c r="AY24" s="81" t="s">
        <v>17</v>
      </c>
      <c r="AZ24" s="81" t="s">
        <v>17</v>
      </c>
      <c r="BA24" s="49"/>
    </row>
    <row r="25" spans="1:53" s="50" customFormat="1" ht="18" hidden="1" customHeight="1">
      <c r="A25" s="50" t="str">
        <f>D24</f>
        <v/>
      </c>
      <c r="B25" s="85" t="str">
        <f>IF('[1]370 Community Land Assets in or'!B27="","",'[1]370 Community Land Assets in or'!B27)</f>
        <v/>
      </c>
      <c r="C25" s="85" t="str">
        <f>IF('[1]370 Community Land Assets in or'!C28="","",'[1]370 Community Land Assets in or'!C28)</f>
        <v/>
      </c>
      <c r="D25" s="47" t="str">
        <f t="shared" si="2"/>
        <v/>
      </c>
      <c r="E25" s="81" t="str">
        <f>IF('[1]370 Community Land Assets in or'!D28="","",'[1]370 Community Land Assets in or'!D28)</f>
        <v/>
      </c>
      <c r="F25" s="81" t="str">
        <f>IF('[1]370 Community Land Assets in or'!E28="","",'[1]370 Community Land Assets in or'!E28)</f>
        <v/>
      </c>
      <c r="G25" s="81" t="str">
        <f>IF('[1]370 Community Land Assets in or'!F28="","",'[1]370 Community Land Assets in or'!F28)</f>
        <v/>
      </c>
      <c r="H25" s="81" t="str">
        <f>IF('[1]370 Community Land Assets in or'!G28="","",'[1]370 Community Land Assets in or'!G28)</f>
        <v/>
      </c>
      <c r="I25" s="81" t="s">
        <v>17</v>
      </c>
      <c r="J25" s="81" t="s">
        <v>17</v>
      </c>
      <c r="K25" s="81" t="s">
        <v>17</v>
      </c>
      <c r="L25" s="81" t="s">
        <v>17</v>
      </c>
      <c r="M25" s="81" t="s">
        <v>17</v>
      </c>
      <c r="N25" s="81" t="s">
        <v>17</v>
      </c>
      <c r="O25" s="81" t="s">
        <v>17</v>
      </c>
      <c r="P25" s="81" t="s">
        <v>17</v>
      </c>
      <c r="Q25" s="81" t="s">
        <v>17</v>
      </c>
      <c r="R25" s="81" t="s">
        <v>17</v>
      </c>
      <c r="S25" s="81" t="s">
        <v>17</v>
      </c>
      <c r="T25" s="81" t="s">
        <v>17</v>
      </c>
      <c r="U25" s="81" t="s">
        <v>17</v>
      </c>
      <c r="V25" s="81" t="s">
        <v>17</v>
      </c>
      <c r="W25" s="81" t="s">
        <v>17</v>
      </c>
      <c r="X25" s="81" t="s">
        <v>17</v>
      </c>
      <c r="Y25" s="81" t="s">
        <v>17</v>
      </c>
      <c r="Z25" s="81" t="s">
        <v>17</v>
      </c>
      <c r="AA25" s="81" t="s">
        <v>17</v>
      </c>
      <c r="AB25" s="81" t="s">
        <v>17</v>
      </c>
      <c r="AC25" s="81" t="s">
        <v>17</v>
      </c>
      <c r="AD25" s="81" t="s">
        <v>17</v>
      </c>
      <c r="AE25" s="81" t="s">
        <v>17</v>
      </c>
      <c r="AF25" s="81" t="s">
        <v>17</v>
      </c>
      <c r="AG25" s="81" t="s">
        <v>17</v>
      </c>
      <c r="AH25" s="81" t="s">
        <v>17</v>
      </c>
      <c r="AI25" s="81" t="s">
        <v>17</v>
      </c>
      <c r="AJ25" s="81" t="s">
        <v>17</v>
      </c>
      <c r="AK25" s="81" t="s">
        <v>17</v>
      </c>
      <c r="AL25" s="81" t="s">
        <v>17</v>
      </c>
      <c r="AM25" s="81" t="s">
        <v>17</v>
      </c>
      <c r="AN25" s="81" t="s">
        <v>17</v>
      </c>
      <c r="AO25" s="81" t="s">
        <v>17</v>
      </c>
      <c r="AP25" s="81" t="s">
        <v>17</v>
      </c>
      <c r="AQ25" s="81" t="s">
        <v>17</v>
      </c>
      <c r="AR25" s="81" t="s">
        <v>17</v>
      </c>
      <c r="AS25" s="81" t="s">
        <v>17</v>
      </c>
      <c r="AT25" s="81" t="s">
        <v>17</v>
      </c>
      <c r="AU25" s="81" t="s">
        <v>17</v>
      </c>
      <c r="AV25" s="81" t="s">
        <v>17</v>
      </c>
      <c r="AW25" s="81" t="s">
        <v>17</v>
      </c>
      <c r="AX25" s="81" t="s">
        <v>17</v>
      </c>
      <c r="AY25" s="81" t="s">
        <v>17</v>
      </c>
      <c r="AZ25" s="81" t="s">
        <v>17</v>
      </c>
      <c r="BA25" s="49"/>
    </row>
    <row r="26" spans="1:53" s="50" customFormat="1" ht="18" hidden="1" customHeight="1">
      <c r="B26" s="85" t="str">
        <f>IF('[1]370 Community Land Assets in or'!B28="","",'[1]370 Community Land Assets in or'!B28)</f>
        <v/>
      </c>
      <c r="C26" s="85" t="str">
        <f>IF('[1]370 Community Land Assets in or'!C29="","",'[1]370 Community Land Assets in or'!C29)</f>
        <v/>
      </c>
      <c r="D26" s="47" t="str">
        <f t="shared" si="2"/>
        <v/>
      </c>
      <c r="E26" s="81" t="str">
        <f>IF('[1]370 Community Land Assets in or'!D29="","",'[1]370 Community Land Assets in or'!D29)</f>
        <v/>
      </c>
      <c r="F26" s="81" t="str">
        <f>IF('[1]370 Community Land Assets in or'!E29="","",'[1]370 Community Land Assets in or'!E29)</f>
        <v/>
      </c>
      <c r="G26" s="81" t="str">
        <f>IF('[1]370 Community Land Assets in or'!F29="","",'[1]370 Community Land Assets in or'!F29)</f>
        <v/>
      </c>
      <c r="H26" s="81" t="str">
        <f>IF('[1]370 Community Land Assets in or'!G29="","",'[1]370 Community Land Assets in or'!G29)</f>
        <v/>
      </c>
      <c r="I26" s="81" t="s">
        <v>17</v>
      </c>
      <c r="J26" s="81" t="s">
        <v>17</v>
      </c>
      <c r="K26" s="81" t="s">
        <v>17</v>
      </c>
      <c r="L26" s="81" t="s">
        <v>17</v>
      </c>
      <c r="M26" s="81" t="s">
        <v>17</v>
      </c>
      <c r="N26" s="81" t="s">
        <v>17</v>
      </c>
      <c r="O26" s="81" t="s">
        <v>17</v>
      </c>
      <c r="P26" s="81" t="s">
        <v>17</v>
      </c>
      <c r="Q26" s="81" t="s">
        <v>17</v>
      </c>
      <c r="R26" s="81" t="s">
        <v>17</v>
      </c>
      <c r="S26" s="81" t="s">
        <v>17</v>
      </c>
      <c r="T26" s="81" t="s">
        <v>17</v>
      </c>
      <c r="U26" s="81" t="s">
        <v>17</v>
      </c>
      <c r="V26" s="81" t="s">
        <v>17</v>
      </c>
      <c r="W26" s="81" t="s">
        <v>17</v>
      </c>
      <c r="X26" s="81" t="s">
        <v>17</v>
      </c>
      <c r="Y26" s="81" t="s">
        <v>17</v>
      </c>
      <c r="Z26" s="81" t="s">
        <v>17</v>
      </c>
      <c r="AA26" s="81" t="s">
        <v>17</v>
      </c>
      <c r="AB26" s="81" t="s">
        <v>17</v>
      </c>
      <c r="AC26" s="81" t="s">
        <v>17</v>
      </c>
      <c r="AD26" s="81" t="s">
        <v>17</v>
      </c>
      <c r="AE26" s="81" t="s">
        <v>17</v>
      </c>
      <c r="AF26" s="81" t="s">
        <v>17</v>
      </c>
      <c r="AG26" s="81" t="s">
        <v>17</v>
      </c>
      <c r="AH26" s="81" t="s">
        <v>17</v>
      </c>
      <c r="AI26" s="81" t="s">
        <v>17</v>
      </c>
      <c r="AJ26" s="81" t="s">
        <v>17</v>
      </c>
      <c r="AK26" s="81" t="s">
        <v>17</v>
      </c>
      <c r="AL26" s="81" t="s">
        <v>17</v>
      </c>
      <c r="AM26" s="81" t="s">
        <v>17</v>
      </c>
      <c r="AN26" s="81" t="s">
        <v>17</v>
      </c>
      <c r="AO26" s="81" t="s">
        <v>17</v>
      </c>
      <c r="AP26" s="81" t="s">
        <v>17</v>
      </c>
      <c r="AQ26" s="81" t="s">
        <v>17</v>
      </c>
      <c r="AR26" s="81" t="s">
        <v>17</v>
      </c>
      <c r="AS26" s="81" t="s">
        <v>17</v>
      </c>
      <c r="AT26" s="81" t="s">
        <v>17</v>
      </c>
      <c r="AU26" s="81" t="s">
        <v>17</v>
      </c>
      <c r="AV26" s="81" t="s">
        <v>17</v>
      </c>
      <c r="AW26" s="81" t="s">
        <v>17</v>
      </c>
      <c r="AX26" s="81" t="s">
        <v>17</v>
      </c>
      <c r="AY26" s="81" t="s">
        <v>17</v>
      </c>
      <c r="AZ26" s="81" t="s">
        <v>17</v>
      </c>
      <c r="BA26" s="49"/>
    </row>
    <row r="27" spans="1:53" s="50" customFormat="1" ht="18" hidden="1" customHeight="1">
      <c r="B27" s="85" t="str">
        <f>IF('[1]370 Community Land Assets in or'!B29="","",'[1]370 Community Land Assets in or'!B29)</f>
        <v/>
      </c>
      <c r="C27" s="85" t="str">
        <f>IF('[1]370 Community Land Assets in or'!C30="","",'[1]370 Community Land Assets in or'!C30)</f>
        <v/>
      </c>
      <c r="D27" s="47" t="str">
        <f t="shared" si="2"/>
        <v/>
      </c>
      <c r="E27" s="81" t="str">
        <f>IF('[1]370 Community Land Assets in or'!D30="","",'[1]370 Community Land Assets in or'!D30)</f>
        <v/>
      </c>
      <c r="F27" s="81" t="str">
        <f>IF('[1]370 Community Land Assets in or'!E30="","",'[1]370 Community Land Assets in or'!E30)</f>
        <v/>
      </c>
      <c r="G27" s="81" t="str">
        <f>IF('[1]370 Community Land Assets in or'!F30="","",'[1]370 Community Land Assets in or'!F30)</f>
        <v/>
      </c>
      <c r="H27" s="81" t="str">
        <f>IF('[1]370 Community Land Assets in or'!G30="","",'[1]370 Community Land Assets in or'!G30)</f>
        <v/>
      </c>
      <c r="I27" s="81" t="s">
        <v>17</v>
      </c>
      <c r="J27" s="81" t="s">
        <v>17</v>
      </c>
      <c r="K27" s="81" t="s">
        <v>17</v>
      </c>
      <c r="L27" s="81" t="s">
        <v>17</v>
      </c>
      <c r="M27" s="81" t="s">
        <v>17</v>
      </c>
      <c r="N27" s="81" t="s">
        <v>17</v>
      </c>
      <c r="O27" s="81" t="s">
        <v>17</v>
      </c>
      <c r="P27" s="81" t="s">
        <v>17</v>
      </c>
      <c r="Q27" s="81" t="s">
        <v>17</v>
      </c>
      <c r="R27" s="81" t="s">
        <v>17</v>
      </c>
      <c r="S27" s="81" t="s">
        <v>17</v>
      </c>
      <c r="T27" s="81" t="s">
        <v>17</v>
      </c>
      <c r="U27" s="81" t="s">
        <v>17</v>
      </c>
      <c r="V27" s="81" t="s">
        <v>17</v>
      </c>
      <c r="W27" s="81" t="s">
        <v>17</v>
      </c>
      <c r="X27" s="81" t="s">
        <v>17</v>
      </c>
      <c r="Y27" s="81" t="s">
        <v>17</v>
      </c>
      <c r="Z27" s="81" t="s">
        <v>17</v>
      </c>
      <c r="AA27" s="81" t="s">
        <v>17</v>
      </c>
      <c r="AB27" s="81" t="s">
        <v>17</v>
      </c>
      <c r="AC27" s="81" t="s">
        <v>17</v>
      </c>
      <c r="AD27" s="81" t="s">
        <v>17</v>
      </c>
      <c r="AE27" s="81" t="s">
        <v>17</v>
      </c>
      <c r="AF27" s="81" t="s">
        <v>17</v>
      </c>
      <c r="AG27" s="81" t="s">
        <v>17</v>
      </c>
      <c r="AH27" s="81" t="s">
        <v>17</v>
      </c>
      <c r="AI27" s="81" t="s">
        <v>17</v>
      </c>
      <c r="AJ27" s="81" t="s">
        <v>17</v>
      </c>
      <c r="AK27" s="81" t="s">
        <v>17</v>
      </c>
      <c r="AL27" s="81" t="s">
        <v>17</v>
      </c>
      <c r="AM27" s="81" t="s">
        <v>17</v>
      </c>
      <c r="AN27" s="81" t="s">
        <v>17</v>
      </c>
      <c r="AO27" s="81" t="s">
        <v>17</v>
      </c>
      <c r="AP27" s="81" t="s">
        <v>17</v>
      </c>
      <c r="AQ27" s="81" t="s">
        <v>17</v>
      </c>
      <c r="AR27" s="81" t="s">
        <v>17</v>
      </c>
      <c r="AS27" s="81" t="s">
        <v>17</v>
      </c>
      <c r="AT27" s="81" t="s">
        <v>17</v>
      </c>
      <c r="AU27" s="81" t="s">
        <v>17</v>
      </c>
      <c r="AV27" s="81" t="s">
        <v>17</v>
      </c>
      <c r="AW27" s="81" t="s">
        <v>17</v>
      </c>
      <c r="AX27" s="81" t="s">
        <v>17</v>
      </c>
      <c r="AY27" s="81" t="s">
        <v>17</v>
      </c>
      <c r="AZ27" s="81" t="s">
        <v>17</v>
      </c>
      <c r="BA27" s="49"/>
    </row>
    <row r="28" spans="1:53" s="50" customFormat="1" ht="18" hidden="1" customHeight="1">
      <c r="B28" s="85" t="str">
        <f>IF('[1]370 Community Land Assets in or'!B30="","",'[1]370 Community Land Assets in or'!B30)</f>
        <v/>
      </c>
      <c r="C28" s="85" t="str">
        <f>IF('[1]370 Community Land Assets in or'!C31="","",'[1]370 Community Land Assets in or'!C31)</f>
        <v/>
      </c>
      <c r="D28" s="47" t="str">
        <f t="shared" si="2"/>
        <v/>
      </c>
      <c r="E28" s="81" t="str">
        <f>IF('[1]370 Community Land Assets in or'!D31="","",'[1]370 Community Land Assets in or'!D31)</f>
        <v/>
      </c>
      <c r="F28" s="81" t="str">
        <f>IF('[1]370 Community Land Assets in or'!E31="","",'[1]370 Community Land Assets in or'!E31)</f>
        <v/>
      </c>
      <c r="G28" s="81" t="str">
        <f>IF('[1]370 Community Land Assets in or'!F31="","",'[1]370 Community Land Assets in or'!F31)</f>
        <v/>
      </c>
      <c r="H28" s="81" t="str">
        <f>IF('[1]370 Community Land Assets in or'!G31="","",'[1]370 Community Land Assets in or'!G31)</f>
        <v/>
      </c>
      <c r="I28" s="81" t="s">
        <v>17</v>
      </c>
      <c r="J28" s="81" t="s">
        <v>17</v>
      </c>
      <c r="K28" s="81" t="s">
        <v>17</v>
      </c>
      <c r="L28" s="81" t="s">
        <v>17</v>
      </c>
      <c r="M28" s="81" t="s">
        <v>17</v>
      </c>
      <c r="N28" s="81" t="s">
        <v>17</v>
      </c>
      <c r="O28" s="81" t="s">
        <v>17</v>
      </c>
      <c r="P28" s="81" t="s">
        <v>17</v>
      </c>
      <c r="Q28" s="81" t="s">
        <v>17</v>
      </c>
      <c r="R28" s="81" t="s">
        <v>17</v>
      </c>
      <c r="S28" s="81" t="s">
        <v>17</v>
      </c>
      <c r="T28" s="81" t="s">
        <v>17</v>
      </c>
      <c r="U28" s="81" t="s">
        <v>17</v>
      </c>
      <c r="V28" s="81" t="s">
        <v>17</v>
      </c>
      <c r="W28" s="81" t="s">
        <v>17</v>
      </c>
      <c r="X28" s="81" t="s">
        <v>17</v>
      </c>
      <c r="Y28" s="81" t="s">
        <v>17</v>
      </c>
      <c r="Z28" s="81" t="s">
        <v>17</v>
      </c>
      <c r="AA28" s="81" t="s">
        <v>17</v>
      </c>
      <c r="AB28" s="81" t="s">
        <v>17</v>
      </c>
      <c r="AC28" s="81" t="s">
        <v>17</v>
      </c>
      <c r="AD28" s="81" t="s">
        <v>17</v>
      </c>
      <c r="AE28" s="81" t="s">
        <v>17</v>
      </c>
      <c r="AF28" s="81" t="s">
        <v>17</v>
      </c>
      <c r="AG28" s="81" t="s">
        <v>17</v>
      </c>
      <c r="AH28" s="81" t="s">
        <v>17</v>
      </c>
      <c r="AI28" s="81" t="s">
        <v>17</v>
      </c>
      <c r="AJ28" s="81" t="s">
        <v>17</v>
      </c>
      <c r="AK28" s="81" t="s">
        <v>17</v>
      </c>
      <c r="AL28" s="81" t="s">
        <v>17</v>
      </c>
      <c r="AM28" s="81" t="s">
        <v>17</v>
      </c>
      <c r="AN28" s="81" t="s">
        <v>17</v>
      </c>
      <c r="AO28" s="81" t="s">
        <v>17</v>
      </c>
      <c r="AP28" s="81" t="s">
        <v>17</v>
      </c>
      <c r="AQ28" s="81" t="s">
        <v>17</v>
      </c>
      <c r="AR28" s="81" t="s">
        <v>17</v>
      </c>
      <c r="AS28" s="81" t="s">
        <v>17</v>
      </c>
      <c r="AT28" s="81" t="s">
        <v>17</v>
      </c>
      <c r="AU28" s="81" t="s">
        <v>17</v>
      </c>
      <c r="AV28" s="81" t="s">
        <v>17</v>
      </c>
      <c r="AW28" s="81" t="s">
        <v>17</v>
      </c>
      <c r="AX28" s="81" t="s">
        <v>17</v>
      </c>
      <c r="AY28" s="81" t="s">
        <v>17</v>
      </c>
      <c r="AZ28" s="81" t="s">
        <v>17</v>
      </c>
      <c r="BA28" s="49"/>
    </row>
    <row r="29" spans="1:53" s="50" customFormat="1" ht="18" hidden="1" customHeight="1">
      <c r="B29" s="85" t="str">
        <f>IF('[1]370 Community Land Assets in or'!B31="","",'[1]370 Community Land Assets in or'!B31)</f>
        <v/>
      </c>
      <c r="C29" s="85" t="str">
        <f>IF('[1]370 Community Land Assets in or'!C32="","",'[1]370 Community Land Assets in or'!C32)</f>
        <v/>
      </c>
      <c r="D29" s="47" t="str">
        <f t="shared" si="2"/>
        <v/>
      </c>
      <c r="E29" s="81" t="str">
        <f>IF('[1]370 Community Land Assets in or'!D32="","",'[1]370 Community Land Assets in or'!D32)</f>
        <v/>
      </c>
      <c r="F29" s="81" t="str">
        <f>IF('[1]370 Community Land Assets in or'!E32="","",'[1]370 Community Land Assets in or'!E32)</f>
        <v/>
      </c>
      <c r="G29" s="81" t="str">
        <f>IF('[1]370 Community Land Assets in or'!F32="","",'[1]370 Community Land Assets in or'!F32)</f>
        <v/>
      </c>
      <c r="H29" s="81" t="str">
        <f>IF('[1]370 Community Land Assets in or'!G32="","",'[1]370 Community Land Assets in or'!G32)</f>
        <v/>
      </c>
      <c r="I29" s="81" t="s">
        <v>17</v>
      </c>
      <c r="J29" s="81" t="s">
        <v>17</v>
      </c>
      <c r="K29" s="81" t="s">
        <v>17</v>
      </c>
      <c r="L29" s="81" t="s">
        <v>17</v>
      </c>
      <c r="M29" s="81" t="s">
        <v>17</v>
      </c>
      <c r="N29" s="81" t="s">
        <v>17</v>
      </c>
      <c r="O29" s="81" t="s">
        <v>17</v>
      </c>
      <c r="P29" s="81" t="s">
        <v>17</v>
      </c>
      <c r="Q29" s="81" t="s">
        <v>17</v>
      </c>
      <c r="R29" s="81" t="s">
        <v>17</v>
      </c>
      <c r="S29" s="81" t="s">
        <v>17</v>
      </c>
      <c r="T29" s="81" t="s">
        <v>17</v>
      </c>
      <c r="U29" s="81" t="s">
        <v>17</v>
      </c>
      <c r="V29" s="81" t="s">
        <v>17</v>
      </c>
      <c r="W29" s="81" t="s">
        <v>17</v>
      </c>
      <c r="X29" s="81" t="s">
        <v>17</v>
      </c>
      <c r="Y29" s="81" t="s">
        <v>17</v>
      </c>
      <c r="Z29" s="81" t="s">
        <v>17</v>
      </c>
      <c r="AA29" s="81" t="s">
        <v>17</v>
      </c>
      <c r="AB29" s="81" t="s">
        <v>17</v>
      </c>
      <c r="AC29" s="81" t="s">
        <v>17</v>
      </c>
      <c r="AD29" s="81" t="s">
        <v>17</v>
      </c>
      <c r="AE29" s="81" t="s">
        <v>17</v>
      </c>
      <c r="AF29" s="81" t="s">
        <v>17</v>
      </c>
      <c r="AG29" s="81" t="s">
        <v>17</v>
      </c>
      <c r="AH29" s="81" t="s">
        <v>17</v>
      </c>
      <c r="AI29" s="81" t="s">
        <v>17</v>
      </c>
      <c r="AJ29" s="81" t="s">
        <v>17</v>
      </c>
      <c r="AK29" s="81" t="s">
        <v>17</v>
      </c>
      <c r="AL29" s="81" t="s">
        <v>17</v>
      </c>
      <c r="AM29" s="81" t="s">
        <v>17</v>
      </c>
      <c r="AN29" s="81" t="s">
        <v>17</v>
      </c>
      <c r="AO29" s="81" t="s">
        <v>17</v>
      </c>
      <c r="AP29" s="81" t="s">
        <v>17</v>
      </c>
      <c r="AQ29" s="81" t="s">
        <v>17</v>
      </c>
      <c r="AR29" s="81" t="s">
        <v>17</v>
      </c>
      <c r="AS29" s="81" t="s">
        <v>17</v>
      </c>
      <c r="AT29" s="81" t="s">
        <v>17</v>
      </c>
      <c r="AU29" s="81" t="s">
        <v>17</v>
      </c>
      <c r="AV29" s="81" t="s">
        <v>17</v>
      </c>
      <c r="AW29" s="81" t="s">
        <v>17</v>
      </c>
      <c r="AX29" s="81" t="s">
        <v>17</v>
      </c>
      <c r="AY29" s="81" t="s">
        <v>17</v>
      </c>
      <c r="AZ29" s="81" t="s">
        <v>17</v>
      </c>
      <c r="BA29" s="49"/>
    </row>
    <row r="30" spans="1:53" s="50" customFormat="1" ht="18" hidden="1" customHeight="1">
      <c r="B30" s="85" t="str">
        <f>IF('[1]370 Community Land Assets in or'!B32="","",'[1]370 Community Land Assets in or'!B32)</f>
        <v/>
      </c>
      <c r="C30" s="85" t="str">
        <f>IF('[1]370 Community Land Assets in or'!C33="","",'[1]370 Community Land Assets in or'!C33)</f>
        <v/>
      </c>
      <c r="D30" s="47" t="str">
        <f t="shared" si="2"/>
        <v/>
      </c>
      <c r="E30" s="81" t="str">
        <f>IF('[1]370 Community Land Assets in or'!D33="","",'[1]370 Community Land Assets in or'!D33)</f>
        <v/>
      </c>
      <c r="F30" s="81" t="str">
        <f>IF('[1]370 Community Land Assets in or'!E33="","",'[1]370 Community Land Assets in or'!E33)</f>
        <v/>
      </c>
      <c r="G30" s="81" t="str">
        <f>IF('[1]370 Community Land Assets in or'!F33="","",'[1]370 Community Land Assets in or'!F33)</f>
        <v/>
      </c>
      <c r="H30" s="81" t="str">
        <f>IF('[1]370 Community Land Assets in or'!G33="","",'[1]370 Community Land Assets in or'!G33)</f>
        <v/>
      </c>
      <c r="I30" s="81" t="s">
        <v>17</v>
      </c>
      <c r="J30" s="81" t="s">
        <v>17</v>
      </c>
      <c r="K30" s="81" t="s">
        <v>17</v>
      </c>
      <c r="L30" s="81" t="s">
        <v>17</v>
      </c>
      <c r="M30" s="81" t="s">
        <v>17</v>
      </c>
      <c r="N30" s="81" t="s">
        <v>17</v>
      </c>
      <c r="O30" s="81" t="s">
        <v>17</v>
      </c>
      <c r="P30" s="81" t="s">
        <v>17</v>
      </c>
      <c r="Q30" s="81" t="s">
        <v>17</v>
      </c>
      <c r="R30" s="81" t="s">
        <v>17</v>
      </c>
      <c r="S30" s="81" t="s">
        <v>17</v>
      </c>
      <c r="T30" s="81" t="s">
        <v>17</v>
      </c>
      <c r="U30" s="81" t="s">
        <v>17</v>
      </c>
      <c r="V30" s="81" t="s">
        <v>17</v>
      </c>
      <c r="W30" s="81" t="s">
        <v>17</v>
      </c>
      <c r="X30" s="81" t="s">
        <v>17</v>
      </c>
      <c r="Y30" s="81" t="s">
        <v>17</v>
      </c>
      <c r="Z30" s="81" t="s">
        <v>17</v>
      </c>
      <c r="AA30" s="81" t="s">
        <v>17</v>
      </c>
      <c r="AB30" s="81" t="s">
        <v>17</v>
      </c>
      <c r="AC30" s="81" t="s">
        <v>17</v>
      </c>
      <c r="AD30" s="81" t="s">
        <v>17</v>
      </c>
      <c r="AE30" s="81" t="s">
        <v>17</v>
      </c>
      <c r="AF30" s="81" t="s">
        <v>17</v>
      </c>
      <c r="AG30" s="81" t="s">
        <v>17</v>
      </c>
      <c r="AH30" s="81" t="s">
        <v>17</v>
      </c>
      <c r="AI30" s="81" t="s">
        <v>17</v>
      </c>
      <c r="AJ30" s="81" t="s">
        <v>17</v>
      </c>
      <c r="AK30" s="81" t="s">
        <v>17</v>
      </c>
      <c r="AL30" s="81" t="s">
        <v>17</v>
      </c>
      <c r="AM30" s="81" t="s">
        <v>17</v>
      </c>
      <c r="AN30" s="81" t="s">
        <v>17</v>
      </c>
      <c r="AO30" s="81" t="s">
        <v>17</v>
      </c>
      <c r="AP30" s="81" t="s">
        <v>17</v>
      </c>
      <c r="AQ30" s="81" t="s">
        <v>17</v>
      </c>
      <c r="AR30" s="81" t="s">
        <v>17</v>
      </c>
      <c r="AS30" s="81" t="s">
        <v>17</v>
      </c>
      <c r="AT30" s="81" t="s">
        <v>17</v>
      </c>
      <c r="AU30" s="81" t="s">
        <v>17</v>
      </c>
      <c r="AV30" s="81" t="s">
        <v>17</v>
      </c>
      <c r="AW30" s="81" t="s">
        <v>17</v>
      </c>
      <c r="AX30" s="81" t="s">
        <v>17</v>
      </c>
      <c r="AY30" s="81" t="s">
        <v>17</v>
      </c>
      <c r="AZ30" s="81" t="s">
        <v>17</v>
      </c>
      <c r="BA30" s="49"/>
    </row>
    <row r="31" spans="1:53" s="50" customFormat="1" ht="18" hidden="1" customHeight="1">
      <c r="B31" s="85" t="str">
        <f>IF('[1]370 Community Land Assets in or'!B33="","",'[1]370 Community Land Assets in or'!B33)</f>
        <v/>
      </c>
      <c r="C31" s="85" t="str">
        <f>IF('[1]370 Community Land Assets in or'!C34="","",'[1]370 Community Land Assets in or'!C34)</f>
        <v/>
      </c>
      <c r="D31" s="47" t="str">
        <f t="shared" si="2"/>
        <v/>
      </c>
      <c r="E31" s="81" t="str">
        <f>IF('[1]370 Community Land Assets in or'!D34="","",'[1]370 Community Land Assets in or'!D34)</f>
        <v/>
      </c>
      <c r="F31" s="81" t="str">
        <f>IF('[1]370 Community Land Assets in or'!E34="","",'[1]370 Community Land Assets in or'!E34)</f>
        <v/>
      </c>
      <c r="G31" s="81" t="str">
        <f>IF('[1]370 Community Land Assets in or'!F34="","",'[1]370 Community Land Assets in or'!F34)</f>
        <v/>
      </c>
      <c r="H31" s="81" t="str">
        <f>IF('[1]370 Community Land Assets in or'!G34="","",'[1]370 Community Land Assets in or'!G34)</f>
        <v/>
      </c>
      <c r="I31" s="81" t="s">
        <v>17</v>
      </c>
      <c r="J31" s="81" t="s">
        <v>17</v>
      </c>
      <c r="K31" s="81" t="s">
        <v>17</v>
      </c>
      <c r="L31" s="81" t="s">
        <v>17</v>
      </c>
      <c r="M31" s="81" t="s">
        <v>17</v>
      </c>
      <c r="N31" s="81" t="s">
        <v>17</v>
      </c>
      <c r="O31" s="81" t="s">
        <v>17</v>
      </c>
      <c r="P31" s="81" t="s">
        <v>17</v>
      </c>
      <c r="Q31" s="81" t="s">
        <v>17</v>
      </c>
      <c r="R31" s="81" t="s">
        <v>17</v>
      </c>
      <c r="S31" s="81" t="s">
        <v>17</v>
      </c>
      <c r="T31" s="81" t="s">
        <v>17</v>
      </c>
      <c r="U31" s="81" t="s">
        <v>17</v>
      </c>
      <c r="V31" s="81" t="s">
        <v>17</v>
      </c>
      <c r="W31" s="81" t="s">
        <v>17</v>
      </c>
      <c r="X31" s="81" t="s">
        <v>17</v>
      </c>
      <c r="Y31" s="81" t="s">
        <v>17</v>
      </c>
      <c r="Z31" s="81" t="s">
        <v>17</v>
      </c>
      <c r="AA31" s="81" t="s">
        <v>17</v>
      </c>
      <c r="AB31" s="81" t="s">
        <v>17</v>
      </c>
      <c r="AC31" s="81" t="s">
        <v>17</v>
      </c>
      <c r="AD31" s="81" t="s">
        <v>17</v>
      </c>
      <c r="AE31" s="81" t="s">
        <v>17</v>
      </c>
      <c r="AF31" s="81" t="s">
        <v>17</v>
      </c>
      <c r="AG31" s="81" t="s">
        <v>17</v>
      </c>
      <c r="AH31" s="81" t="s">
        <v>17</v>
      </c>
      <c r="AI31" s="81" t="s">
        <v>17</v>
      </c>
      <c r="AJ31" s="81" t="s">
        <v>17</v>
      </c>
      <c r="AK31" s="81" t="s">
        <v>17</v>
      </c>
      <c r="AL31" s="81" t="s">
        <v>17</v>
      </c>
      <c r="AM31" s="81" t="s">
        <v>17</v>
      </c>
      <c r="AN31" s="81" t="s">
        <v>17</v>
      </c>
      <c r="AO31" s="81" t="s">
        <v>17</v>
      </c>
      <c r="AP31" s="81" t="s">
        <v>17</v>
      </c>
      <c r="AQ31" s="81" t="s">
        <v>17</v>
      </c>
      <c r="AR31" s="81" t="s">
        <v>17</v>
      </c>
      <c r="AS31" s="81" t="s">
        <v>17</v>
      </c>
      <c r="AT31" s="81" t="s">
        <v>17</v>
      </c>
      <c r="AU31" s="81" t="s">
        <v>17</v>
      </c>
      <c r="AV31" s="81" t="s">
        <v>17</v>
      </c>
      <c r="AW31" s="81" t="s">
        <v>17</v>
      </c>
      <c r="AX31" s="81" t="s">
        <v>17</v>
      </c>
      <c r="AY31" s="81" t="s">
        <v>17</v>
      </c>
      <c r="AZ31" s="81" t="s">
        <v>17</v>
      </c>
      <c r="BA31" s="49"/>
    </row>
    <row r="32" spans="1:53" s="50" customFormat="1" ht="18" hidden="1" customHeight="1">
      <c r="B32" s="85" t="str">
        <f>IF('[1]370 Community Land Assets in or'!B34="","",'[1]370 Community Land Assets in or'!B34)</f>
        <v/>
      </c>
      <c r="C32" s="85" t="str">
        <f>IF('[1]370 Community Land Assets in or'!C35="","",'[1]370 Community Land Assets in or'!C35)</f>
        <v/>
      </c>
      <c r="D32" s="47" t="str">
        <f t="shared" si="2"/>
        <v/>
      </c>
      <c r="E32" s="81" t="str">
        <f>IF('[1]370 Community Land Assets in or'!D35="","",'[1]370 Community Land Assets in or'!D35)</f>
        <v/>
      </c>
      <c r="F32" s="81" t="str">
        <f>IF('[1]370 Community Land Assets in or'!E35="","",'[1]370 Community Land Assets in or'!E35)</f>
        <v/>
      </c>
      <c r="G32" s="81" t="str">
        <f>IF('[1]370 Community Land Assets in or'!F35="","",'[1]370 Community Land Assets in or'!F35)</f>
        <v/>
      </c>
      <c r="H32" s="81" t="str">
        <f>IF('[1]370 Community Land Assets in or'!G35="","",'[1]370 Community Land Assets in or'!G35)</f>
        <v/>
      </c>
      <c r="I32" s="81" t="s">
        <v>17</v>
      </c>
      <c r="J32" s="81" t="s">
        <v>17</v>
      </c>
      <c r="K32" s="81" t="s">
        <v>17</v>
      </c>
      <c r="L32" s="81" t="s">
        <v>17</v>
      </c>
      <c r="M32" s="81" t="s">
        <v>17</v>
      </c>
      <c r="N32" s="81" t="s">
        <v>17</v>
      </c>
      <c r="O32" s="81" t="s">
        <v>17</v>
      </c>
      <c r="P32" s="81" t="s">
        <v>17</v>
      </c>
      <c r="Q32" s="81" t="s">
        <v>17</v>
      </c>
      <c r="R32" s="81" t="s">
        <v>17</v>
      </c>
      <c r="S32" s="81" t="s">
        <v>17</v>
      </c>
      <c r="T32" s="81" t="s">
        <v>17</v>
      </c>
      <c r="U32" s="81" t="s">
        <v>17</v>
      </c>
      <c r="V32" s="81" t="s">
        <v>17</v>
      </c>
      <c r="W32" s="81" t="s">
        <v>17</v>
      </c>
      <c r="X32" s="81" t="s">
        <v>17</v>
      </c>
      <c r="Y32" s="81" t="s">
        <v>17</v>
      </c>
      <c r="Z32" s="81" t="s">
        <v>17</v>
      </c>
      <c r="AA32" s="81" t="s">
        <v>17</v>
      </c>
      <c r="AB32" s="81" t="s">
        <v>17</v>
      </c>
      <c r="AC32" s="81" t="s">
        <v>17</v>
      </c>
      <c r="AD32" s="81" t="s">
        <v>17</v>
      </c>
      <c r="AE32" s="81" t="s">
        <v>17</v>
      </c>
      <c r="AF32" s="81" t="s">
        <v>17</v>
      </c>
      <c r="AG32" s="81" t="s">
        <v>17</v>
      </c>
      <c r="AH32" s="81" t="s">
        <v>17</v>
      </c>
      <c r="AI32" s="81" t="s">
        <v>17</v>
      </c>
      <c r="AJ32" s="81" t="s">
        <v>17</v>
      </c>
      <c r="AK32" s="81" t="s">
        <v>17</v>
      </c>
      <c r="AL32" s="81" t="s">
        <v>17</v>
      </c>
      <c r="AM32" s="81" t="s">
        <v>17</v>
      </c>
      <c r="AN32" s="81" t="s">
        <v>17</v>
      </c>
      <c r="AO32" s="81" t="s">
        <v>17</v>
      </c>
      <c r="AP32" s="81" t="s">
        <v>17</v>
      </c>
      <c r="AQ32" s="81" t="s">
        <v>17</v>
      </c>
      <c r="AR32" s="81" t="s">
        <v>17</v>
      </c>
      <c r="AS32" s="81" t="s">
        <v>17</v>
      </c>
      <c r="AT32" s="81" t="s">
        <v>17</v>
      </c>
      <c r="AU32" s="81" t="s">
        <v>17</v>
      </c>
      <c r="AV32" s="81" t="s">
        <v>17</v>
      </c>
      <c r="AW32" s="81" t="s">
        <v>17</v>
      </c>
      <c r="AX32" s="81" t="s">
        <v>17</v>
      </c>
      <c r="AY32" s="81" t="s">
        <v>17</v>
      </c>
      <c r="AZ32" s="81" t="s">
        <v>17</v>
      </c>
      <c r="BA32" s="49"/>
    </row>
    <row r="33" spans="2:53" s="50" customFormat="1" ht="18" hidden="1" customHeight="1">
      <c r="B33" s="85" t="str">
        <f>IF('[1]370 Community Land Assets in or'!B35="","",'[1]370 Community Land Assets in or'!B35)</f>
        <v/>
      </c>
      <c r="C33" s="85" t="str">
        <f>IF('[1]370 Community Land Assets in or'!C36="","",'[1]370 Community Land Assets in or'!C36)</f>
        <v/>
      </c>
      <c r="D33" s="47" t="str">
        <f t="shared" si="2"/>
        <v/>
      </c>
      <c r="E33" s="81" t="str">
        <f>IF('[1]370 Community Land Assets in or'!D36="","",'[1]370 Community Land Assets in or'!D36)</f>
        <v/>
      </c>
      <c r="F33" s="81" t="str">
        <f>IF('[1]370 Community Land Assets in or'!E36="","",'[1]370 Community Land Assets in or'!E36)</f>
        <v/>
      </c>
      <c r="G33" s="81" t="str">
        <f>IF('[1]370 Community Land Assets in or'!F36="","",'[1]370 Community Land Assets in or'!F36)</f>
        <v/>
      </c>
      <c r="H33" s="81" t="str">
        <f>IF('[1]370 Community Land Assets in or'!G36="","",'[1]370 Community Land Assets in or'!G36)</f>
        <v/>
      </c>
      <c r="I33" s="81" t="s">
        <v>17</v>
      </c>
      <c r="J33" s="81" t="s">
        <v>17</v>
      </c>
      <c r="K33" s="81" t="s">
        <v>17</v>
      </c>
      <c r="L33" s="81" t="s">
        <v>17</v>
      </c>
      <c r="M33" s="81" t="s">
        <v>17</v>
      </c>
      <c r="N33" s="81" t="s">
        <v>17</v>
      </c>
      <c r="O33" s="81" t="s">
        <v>17</v>
      </c>
      <c r="P33" s="81" t="s">
        <v>17</v>
      </c>
      <c r="Q33" s="81" t="s">
        <v>17</v>
      </c>
      <c r="R33" s="81" t="s">
        <v>17</v>
      </c>
      <c r="S33" s="81" t="s">
        <v>17</v>
      </c>
      <c r="T33" s="81" t="s">
        <v>17</v>
      </c>
      <c r="U33" s="81" t="s">
        <v>17</v>
      </c>
      <c r="V33" s="81" t="s">
        <v>17</v>
      </c>
      <c r="W33" s="81" t="s">
        <v>17</v>
      </c>
      <c r="X33" s="81" t="s">
        <v>17</v>
      </c>
      <c r="Y33" s="81" t="s">
        <v>17</v>
      </c>
      <c r="Z33" s="81" t="s">
        <v>17</v>
      </c>
      <c r="AA33" s="81" t="s">
        <v>17</v>
      </c>
      <c r="AB33" s="81" t="s">
        <v>17</v>
      </c>
      <c r="AC33" s="81" t="s">
        <v>17</v>
      </c>
      <c r="AD33" s="81" t="s">
        <v>17</v>
      </c>
      <c r="AE33" s="81" t="s">
        <v>17</v>
      </c>
      <c r="AF33" s="81" t="s">
        <v>17</v>
      </c>
      <c r="AG33" s="81" t="s">
        <v>17</v>
      </c>
      <c r="AH33" s="81" t="s">
        <v>17</v>
      </c>
      <c r="AI33" s="81" t="s">
        <v>17</v>
      </c>
      <c r="AJ33" s="81" t="s">
        <v>17</v>
      </c>
      <c r="AK33" s="81" t="s">
        <v>17</v>
      </c>
      <c r="AL33" s="81" t="s">
        <v>17</v>
      </c>
      <c r="AM33" s="81" t="s">
        <v>17</v>
      </c>
      <c r="AN33" s="81" t="s">
        <v>17</v>
      </c>
      <c r="AO33" s="81" t="s">
        <v>17</v>
      </c>
      <c r="AP33" s="81" t="s">
        <v>17</v>
      </c>
      <c r="AQ33" s="81" t="s">
        <v>17</v>
      </c>
      <c r="AR33" s="81" t="s">
        <v>17</v>
      </c>
      <c r="AS33" s="81" t="s">
        <v>17</v>
      </c>
      <c r="AT33" s="81" t="s">
        <v>17</v>
      </c>
      <c r="AU33" s="81" t="s">
        <v>17</v>
      </c>
      <c r="AV33" s="81" t="s">
        <v>17</v>
      </c>
      <c r="AW33" s="81" t="s">
        <v>17</v>
      </c>
      <c r="AX33" s="81" t="s">
        <v>17</v>
      </c>
      <c r="AY33" s="81" t="s">
        <v>17</v>
      </c>
      <c r="AZ33" s="81" t="s">
        <v>17</v>
      </c>
      <c r="BA33" s="49"/>
    </row>
    <row r="34" spans="2:53" s="50" customFormat="1" ht="18" hidden="1" customHeight="1">
      <c r="B34" s="85" t="str">
        <f>IF('[1]370 Community Land Assets in or'!B36="","",'[1]370 Community Land Assets in or'!B36)</f>
        <v/>
      </c>
      <c r="C34" s="85" t="str">
        <f>IF('[1]370 Community Land Assets in or'!C37="","",'[1]370 Community Land Assets in or'!C37)</f>
        <v/>
      </c>
      <c r="D34" s="47" t="str">
        <f t="shared" si="2"/>
        <v/>
      </c>
      <c r="E34" s="81" t="str">
        <f>IF('[1]370 Community Land Assets in or'!D37="","",'[1]370 Community Land Assets in or'!D37)</f>
        <v/>
      </c>
      <c r="F34" s="81" t="str">
        <f>IF('[1]370 Community Land Assets in or'!E37="","",'[1]370 Community Land Assets in or'!E37)</f>
        <v/>
      </c>
      <c r="G34" s="81" t="str">
        <f>IF('[1]370 Community Land Assets in or'!F37="","",'[1]370 Community Land Assets in or'!F37)</f>
        <v/>
      </c>
      <c r="H34" s="81" t="str">
        <f>IF('[1]370 Community Land Assets in or'!G37="","",'[1]370 Community Land Assets in or'!G37)</f>
        <v/>
      </c>
      <c r="I34" s="81" t="s">
        <v>17</v>
      </c>
      <c r="J34" s="81" t="s">
        <v>17</v>
      </c>
      <c r="K34" s="81" t="s">
        <v>17</v>
      </c>
      <c r="L34" s="81" t="s">
        <v>17</v>
      </c>
      <c r="M34" s="81" t="s">
        <v>17</v>
      </c>
      <c r="N34" s="81" t="s">
        <v>17</v>
      </c>
      <c r="O34" s="81" t="s">
        <v>17</v>
      </c>
      <c r="P34" s="81" t="s">
        <v>17</v>
      </c>
      <c r="Q34" s="81" t="s">
        <v>17</v>
      </c>
      <c r="R34" s="81" t="s">
        <v>17</v>
      </c>
      <c r="S34" s="81" t="s">
        <v>17</v>
      </c>
      <c r="T34" s="81" t="s">
        <v>17</v>
      </c>
      <c r="U34" s="81" t="s">
        <v>17</v>
      </c>
      <c r="V34" s="81" t="s">
        <v>17</v>
      </c>
      <c r="W34" s="81" t="s">
        <v>17</v>
      </c>
      <c r="X34" s="81" t="s">
        <v>17</v>
      </c>
      <c r="Y34" s="81" t="s">
        <v>17</v>
      </c>
      <c r="Z34" s="81" t="s">
        <v>17</v>
      </c>
      <c r="AA34" s="81" t="s">
        <v>17</v>
      </c>
      <c r="AB34" s="81" t="s">
        <v>17</v>
      </c>
      <c r="AC34" s="81" t="s">
        <v>17</v>
      </c>
      <c r="AD34" s="81" t="s">
        <v>17</v>
      </c>
      <c r="AE34" s="81" t="s">
        <v>17</v>
      </c>
      <c r="AF34" s="81" t="s">
        <v>17</v>
      </c>
      <c r="AG34" s="81" t="s">
        <v>17</v>
      </c>
      <c r="AH34" s="81" t="s">
        <v>17</v>
      </c>
      <c r="AI34" s="81" t="s">
        <v>17</v>
      </c>
      <c r="AJ34" s="81" t="s">
        <v>17</v>
      </c>
      <c r="AK34" s="81" t="s">
        <v>17</v>
      </c>
      <c r="AL34" s="81" t="s">
        <v>17</v>
      </c>
      <c r="AM34" s="81" t="s">
        <v>17</v>
      </c>
      <c r="AN34" s="81" t="s">
        <v>17</v>
      </c>
      <c r="AO34" s="81" t="s">
        <v>17</v>
      </c>
      <c r="AP34" s="81" t="s">
        <v>17</v>
      </c>
      <c r="AQ34" s="81" t="s">
        <v>17</v>
      </c>
      <c r="AR34" s="81" t="s">
        <v>17</v>
      </c>
      <c r="AS34" s="81" t="s">
        <v>17</v>
      </c>
      <c r="AT34" s="81" t="s">
        <v>17</v>
      </c>
      <c r="AU34" s="81" t="s">
        <v>17</v>
      </c>
      <c r="AV34" s="81" t="s">
        <v>17</v>
      </c>
      <c r="AW34" s="81" t="s">
        <v>17</v>
      </c>
      <c r="AX34" s="81" t="s">
        <v>17</v>
      </c>
      <c r="AY34" s="81" t="s">
        <v>17</v>
      </c>
      <c r="AZ34" s="81" t="s">
        <v>17</v>
      </c>
      <c r="BA34" s="49"/>
    </row>
    <row r="35" spans="2:53" s="50" customFormat="1" ht="18" hidden="1" customHeight="1">
      <c r="B35" s="85" t="str">
        <f>IF('[1]370 Community Land Assets in or'!B37="","",'[1]370 Community Land Assets in or'!B37)</f>
        <v/>
      </c>
      <c r="C35" s="85" t="str">
        <f>IF('[1]370 Community Land Assets in or'!C38="","",'[1]370 Community Land Assets in or'!C38)</f>
        <v/>
      </c>
      <c r="D35" s="47" t="str">
        <f t="shared" si="2"/>
        <v/>
      </c>
      <c r="E35" s="81" t="str">
        <f>IF('[1]370 Community Land Assets in or'!D38="","",'[1]370 Community Land Assets in or'!D38)</f>
        <v/>
      </c>
      <c r="F35" s="81" t="str">
        <f>IF('[1]370 Community Land Assets in or'!E38="","",'[1]370 Community Land Assets in or'!E38)</f>
        <v/>
      </c>
      <c r="G35" s="81" t="str">
        <f>IF('[1]370 Community Land Assets in or'!F38="","",'[1]370 Community Land Assets in or'!F38)</f>
        <v/>
      </c>
      <c r="H35" s="81" t="str">
        <f>IF('[1]370 Community Land Assets in or'!G38="","",'[1]370 Community Land Assets in or'!G38)</f>
        <v/>
      </c>
      <c r="I35" s="81" t="s">
        <v>17</v>
      </c>
      <c r="J35" s="81" t="s">
        <v>17</v>
      </c>
      <c r="K35" s="81" t="s">
        <v>17</v>
      </c>
      <c r="L35" s="81" t="s">
        <v>17</v>
      </c>
      <c r="M35" s="81" t="s">
        <v>17</v>
      </c>
      <c r="N35" s="81" t="s">
        <v>17</v>
      </c>
      <c r="O35" s="81" t="s">
        <v>17</v>
      </c>
      <c r="P35" s="81" t="s">
        <v>17</v>
      </c>
      <c r="Q35" s="81" t="s">
        <v>17</v>
      </c>
      <c r="R35" s="81" t="s">
        <v>17</v>
      </c>
      <c r="S35" s="81" t="s">
        <v>17</v>
      </c>
      <c r="T35" s="81" t="s">
        <v>17</v>
      </c>
      <c r="U35" s="81" t="s">
        <v>17</v>
      </c>
      <c r="V35" s="81" t="s">
        <v>17</v>
      </c>
      <c r="W35" s="81" t="s">
        <v>17</v>
      </c>
      <c r="X35" s="81" t="s">
        <v>17</v>
      </c>
      <c r="Y35" s="81" t="s">
        <v>17</v>
      </c>
      <c r="Z35" s="81" t="s">
        <v>17</v>
      </c>
      <c r="AA35" s="81" t="s">
        <v>17</v>
      </c>
      <c r="AB35" s="81" t="s">
        <v>17</v>
      </c>
      <c r="AC35" s="81" t="s">
        <v>17</v>
      </c>
      <c r="AD35" s="81" t="s">
        <v>17</v>
      </c>
      <c r="AE35" s="81" t="s">
        <v>17</v>
      </c>
      <c r="AF35" s="81" t="s">
        <v>17</v>
      </c>
      <c r="AG35" s="81" t="s">
        <v>17</v>
      </c>
      <c r="AH35" s="81" t="s">
        <v>17</v>
      </c>
      <c r="AI35" s="81" t="s">
        <v>17</v>
      </c>
      <c r="AJ35" s="81" t="s">
        <v>17</v>
      </c>
      <c r="AK35" s="81" t="s">
        <v>17</v>
      </c>
      <c r="AL35" s="81" t="s">
        <v>17</v>
      </c>
      <c r="AM35" s="81" t="s">
        <v>17</v>
      </c>
      <c r="AN35" s="81" t="s">
        <v>17</v>
      </c>
      <c r="AO35" s="81" t="s">
        <v>17</v>
      </c>
      <c r="AP35" s="81" t="s">
        <v>17</v>
      </c>
      <c r="AQ35" s="81" t="s">
        <v>17</v>
      </c>
      <c r="AR35" s="81" t="s">
        <v>17</v>
      </c>
      <c r="AS35" s="81" t="s">
        <v>17</v>
      </c>
      <c r="AT35" s="81" t="s">
        <v>17</v>
      </c>
      <c r="AU35" s="81" t="s">
        <v>17</v>
      </c>
      <c r="AV35" s="81" t="s">
        <v>17</v>
      </c>
      <c r="AW35" s="81" t="s">
        <v>17</v>
      </c>
      <c r="AX35" s="81" t="s">
        <v>17</v>
      </c>
      <c r="AY35" s="81" t="s">
        <v>17</v>
      </c>
      <c r="AZ35" s="81" t="s">
        <v>17</v>
      </c>
      <c r="BA35" s="49"/>
    </row>
    <row r="36" spans="2:53" s="50" customFormat="1" ht="18" hidden="1" customHeight="1">
      <c r="B36" s="85" t="str">
        <f>IF('[1]370 Community Land Assets in or'!B38="","",'[1]370 Community Land Assets in or'!B38)</f>
        <v/>
      </c>
      <c r="C36" s="85" t="str">
        <f>IF('[1]370 Community Land Assets in or'!C39="","",'[1]370 Community Land Assets in or'!C39)</f>
        <v/>
      </c>
      <c r="D36" s="47" t="str">
        <f t="shared" si="2"/>
        <v/>
      </c>
      <c r="E36" s="81" t="str">
        <f>IF('[1]370 Community Land Assets in or'!D39="","",'[1]370 Community Land Assets in or'!D39)</f>
        <v/>
      </c>
      <c r="F36" s="81" t="str">
        <f>IF('[1]370 Community Land Assets in or'!E39="","",'[1]370 Community Land Assets in or'!E39)</f>
        <v/>
      </c>
      <c r="G36" s="81" t="str">
        <f>IF('[1]370 Community Land Assets in or'!F39="","",'[1]370 Community Land Assets in or'!F39)</f>
        <v/>
      </c>
      <c r="H36" s="81" t="str">
        <f>IF('[1]370 Community Land Assets in or'!G39="","",'[1]370 Community Land Assets in or'!G39)</f>
        <v/>
      </c>
      <c r="I36" s="81" t="s">
        <v>17</v>
      </c>
      <c r="J36" s="81" t="s">
        <v>17</v>
      </c>
      <c r="K36" s="81" t="s">
        <v>17</v>
      </c>
      <c r="L36" s="81" t="s">
        <v>17</v>
      </c>
      <c r="M36" s="81" t="s">
        <v>17</v>
      </c>
      <c r="N36" s="81" t="s">
        <v>17</v>
      </c>
      <c r="O36" s="81" t="s">
        <v>17</v>
      </c>
      <c r="P36" s="81" t="s">
        <v>17</v>
      </c>
      <c r="Q36" s="81" t="s">
        <v>17</v>
      </c>
      <c r="R36" s="81" t="s">
        <v>17</v>
      </c>
      <c r="S36" s="81" t="s">
        <v>17</v>
      </c>
      <c r="T36" s="81" t="s">
        <v>17</v>
      </c>
      <c r="U36" s="81" t="s">
        <v>17</v>
      </c>
      <c r="V36" s="81" t="s">
        <v>17</v>
      </c>
      <c r="W36" s="81" t="s">
        <v>17</v>
      </c>
      <c r="X36" s="81" t="s">
        <v>17</v>
      </c>
      <c r="Y36" s="81" t="s">
        <v>17</v>
      </c>
      <c r="Z36" s="81" t="s">
        <v>17</v>
      </c>
      <c r="AA36" s="81" t="s">
        <v>17</v>
      </c>
      <c r="AB36" s="81" t="s">
        <v>17</v>
      </c>
      <c r="AC36" s="81" t="s">
        <v>17</v>
      </c>
      <c r="AD36" s="81" t="s">
        <v>17</v>
      </c>
      <c r="AE36" s="81" t="s">
        <v>17</v>
      </c>
      <c r="AF36" s="81" t="s">
        <v>17</v>
      </c>
      <c r="AG36" s="81" t="s">
        <v>17</v>
      </c>
      <c r="AH36" s="81" t="s">
        <v>17</v>
      </c>
      <c r="AI36" s="81" t="s">
        <v>17</v>
      </c>
      <c r="AJ36" s="81" t="s">
        <v>17</v>
      </c>
      <c r="AK36" s="81" t="s">
        <v>17</v>
      </c>
      <c r="AL36" s="81" t="s">
        <v>17</v>
      </c>
      <c r="AM36" s="81" t="s">
        <v>17</v>
      </c>
      <c r="AN36" s="81" t="s">
        <v>17</v>
      </c>
      <c r="AO36" s="81" t="s">
        <v>17</v>
      </c>
      <c r="AP36" s="81" t="s">
        <v>17</v>
      </c>
      <c r="AQ36" s="81" t="s">
        <v>17</v>
      </c>
      <c r="AR36" s="81" t="s">
        <v>17</v>
      </c>
      <c r="AS36" s="81" t="s">
        <v>17</v>
      </c>
      <c r="AT36" s="81" t="s">
        <v>17</v>
      </c>
      <c r="AU36" s="81" t="s">
        <v>17</v>
      </c>
      <c r="AV36" s="81" t="s">
        <v>17</v>
      </c>
      <c r="AW36" s="81" t="s">
        <v>17</v>
      </c>
      <c r="AX36" s="81" t="s">
        <v>17</v>
      </c>
      <c r="AY36" s="81" t="s">
        <v>17</v>
      </c>
      <c r="AZ36" s="81" t="s">
        <v>17</v>
      </c>
      <c r="BA36" s="49"/>
    </row>
    <row r="37" spans="2:53" s="50" customFormat="1" ht="18" hidden="1" customHeight="1">
      <c r="B37" s="85" t="str">
        <f>IF('[1]370 Community Land Assets in or'!B39="","",'[1]370 Community Land Assets in or'!B39)</f>
        <v/>
      </c>
      <c r="C37" s="85" t="str">
        <f>IF('[1]370 Community Land Assets in or'!C40="","",'[1]370 Community Land Assets in or'!C40)</f>
        <v/>
      </c>
      <c r="D37" s="47" t="str">
        <f t="shared" si="2"/>
        <v/>
      </c>
      <c r="E37" s="81" t="str">
        <f>IF('[1]370 Community Land Assets in or'!D40="","",'[1]370 Community Land Assets in or'!D40)</f>
        <v/>
      </c>
      <c r="F37" s="81" t="str">
        <f>IF('[1]370 Community Land Assets in or'!E40="","",'[1]370 Community Land Assets in or'!E40)</f>
        <v/>
      </c>
      <c r="G37" s="81" t="str">
        <f>IF('[1]370 Community Land Assets in or'!F40="","",'[1]370 Community Land Assets in or'!F40)</f>
        <v/>
      </c>
      <c r="H37" s="81" t="str">
        <f>IF('[1]370 Community Land Assets in or'!G40="","",'[1]370 Community Land Assets in or'!G40)</f>
        <v/>
      </c>
      <c r="I37" s="81" t="s">
        <v>17</v>
      </c>
      <c r="J37" s="81" t="s">
        <v>17</v>
      </c>
      <c r="K37" s="81" t="s">
        <v>17</v>
      </c>
      <c r="L37" s="81" t="s">
        <v>17</v>
      </c>
      <c r="M37" s="81" t="s">
        <v>17</v>
      </c>
      <c r="N37" s="81" t="s">
        <v>17</v>
      </c>
      <c r="O37" s="81" t="s">
        <v>17</v>
      </c>
      <c r="P37" s="81" t="s">
        <v>17</v>
      </c>
      <c r="Q37" s="81" t="s">
        <v>17</v>
      </c>
      <c r="R37" s="81" t="s">
        <v>17</v>
      </c>
      <c r="S37" s="81" t="s">
        <v>17</v>
      </c>
      <c r="T37" s="81" t="s">
        <v>17</v>
      </c>
      <c r="U37" s="81" t="s">
        <v>17</v>
      </c>
      <c r="V37" s="81" t="s">
        <v>17</v>
      </c>
      <c r="W37" s="81" t="s">
        <v>17</v>
      </c>
      <c r="X37" s="81" t="s">
        <v>17</v>
      </c>
      <c r="Y37" s="81" t="s">
        <v>17</v>
      </c>
      <c r="Z37" s="81" t="s">
        <v>17</v>
      </c>
      <c r="AA37" s="81" t="s">
        <v>17</v>
      </c>
      <c r="AB37" s="81" t="s">
        <v>17</v>
      </c>
      <c r="AC37" s="81" t="s">
        <v>17</v>
      </c>
      <c r="AD37" s="81" t="s">
        <v>17</v>
      </c>
      <c r="AE37" s="81" t="s">
        <v>17</v>
      </c>
      <c r="AF37" s="81" t="s">
        <v>17</v>
      </c>
      <c r="AG37" s="81" t="s">
        <v>17</v>
      </c>
      <c r="AH37" s="81" t="s">
        <v>17</v>
      </c>
      <c r="AI37" s="81" t="s">
        <v>17</v>
      </c>
      <c r="AJ37" s="81" t="s">
        <v>17</v>
      </c>
      <c r="AK37" s="81" t="s">
        <v>17</v>
      </c>
      <c r="AL37" s="81" t="s">
        <v>17</v>
      </c>
      <c r="AM37" s="81" t="s">
        <v>17</v>
      </c>
      <c r="AN37" s="81" t="s">
        <v>17</v>
      </c>
      <c r="AO37" s="81" t="s">
        <v>17</v>
      </c>
      <c r="AP37" s="81" t="s">
        <v>17</v>
      </c>
      <c r="AQ37" s="81" t="s">
        <v>17</v>
      </c>
      <c r="AR37" s="81" t="s">
        <v>17</v>
      </c>
      <c r="AS37" s="81" t="s">
        <v>17</v>
      </c>
      <c r="AT37" s="81" t="s">
        <v>17</v>
      </c>
      <c r="AU37" s="81" t="s">
        <v>17</v>
      </c>
      <c r="AV37" s="81" t="s">
        <v>17</v>
      </c>
      <c r="AW37" s="81" t="s">
        <v>17</v>
      </c>
      <c r="AX37" s="81" t="s">
        <v>17</v>
      </c>
      <c r="AY37" s="81" t="s">
        <v>17</v>
      </c>
      <c r="AZ37" s="81" t="s">
        <v>17</v>
      </c>
      <c r="BA37" s="49"/>
    </row>
    <row r="38" spans="2:53" s="50" customFormat="1" ht="18" hidden="1" customHeight="1">
      <c r="B38" s="85" t="str">
        <f>IF('[1]370 Community Land Assets in or'!B40="","",'[1]370 Community Land Assets in or'!B40)</f>
        <v/>
      </c>
      <c r="C38" s="85" t="str">
        <f>IF('[1]370 Community Land Assets in or'!C41="","",'[1]370 Community Land Assets in or'!C41)</f>
        <v/>
      </c>
      <c r="D38" s="47" t="str">
        <f t="shared" si="2"/>
        <v/>
      </c>
      <c r="E38" s="81" t="str">
        <f>IF('[1]370 Community Land Assets in or'!D41="","",'[1]370 Community Land Assets in or'!D41)</f>
        <v/>
      </c>
      <c r="F38" s="81" t="str">
        <f>IF('[1]370 Community Land Assets in or'!E41="","",'[1]370 Community Land Assets in or'!E41)</f>
        <v/>
      </c>
      <c r="G38" s="81" t="str">
        <f>IF('[1]370 Community Land Assets in or'!F41="","",'[1]370 Community Land Assets in or'!F41)</f>
        <v/>
      </c>
      <c r="H38" s="81" t="str">
        <f>IF('[1]370 Community Land Assets in or'!G41="","",'[1]370 Community Land Assets in or'!G41)</f>
        <v/>
      </c>
      <c r="I38" s="81" t="s">
        <v>17</v>
      </c>
      <c r="J38" s="81" t="s">
        <v>17</v>
      </c>
      <c r="K38" s="81" t="s">
        <v>17</v>
      </c>
      <c r="L38" s="81" t="s">
        <v>17</v>
      </c>
      <c r="M38" s="81" t="s">
        <v>17</v>
      </c>
      <c r="N38" s="81" t="s">
        <v>17</v>
      </c>
      <c r="O38" s="81" t="s">
        <v>17</v>
      </c>
      <c r="P38" s="81" t="s">
        <v>17</v>
      </c>
      <c r="Q38" s="81" t="s">
        <v>17</v>
      </c>
      <c r="R38" s="81" t="s">
        <v>17</v>
      </c>
      <c r="S38" s="81" t="s">
        <v>17</v>
      </c>
      <c r="T38" s="81" t="s">
        <v>17</v>
      </c>
      <c r="U38" s="81" t="s">
        <v>17</v>
      </c>
      <c r="V38" s="81" t="s">
        <v>17</v>
      </c>
      <c r="W38" s="81" t="s">
        <v>17</v>
      </c>
      <c r="X38" s="81" t="s">
        <v>17</v>
      </c>
      <c r="Y38" s="81" t="s">
        <v>17</v>
      </c>
      <c r="Z38" s="81" t="s">
        <v>17</v>
      </c>
      <c r="AA38" s="81" t="s">
        <v>17</v>
      </c>
      <c r="AB38" s="81" t="s">
        <v>17</v>
      </c>
      <c r="AC38" s="81" t="s">
        <v>17</v>
      </c>
      <c r="AD38" s="81" t="s">
        <v>17</v>
      </c>
      <c r="AE38" s="81" t="s">
        <v>17</v>
      </c>
      <c r="AF38" s="81" t="s">
        <v>17</v>
      </c>
      <c r="AG38" s="81" t="s">
        <v>17</v>
      </c>
      <c r="AH38" s="81" t="s">
        <v>17</v>
      </c>
      <c r="AI38" s="81" t="s">
        <v>17</v>
      </c>
      <c r="AJ38" s="81" t="s">
        <v>17</v>
      </c>
      <c r="AK38" s="81" t="s">
        <v>17</v>
      </c>
      <c r="AL38" s="81" t="s">
        <v>17</v>
      </c>
      <c r="AM38" s="81" t="s">
        <v>17</v>
      </c>
      <c r="AN38" s="81" t="s">
        <v>17</v>
      </c>
      <c r="AO38" s="81" t="s">
        <v>17</v>
      </c>
      <c r="AP38" s="81" t="s">
        <v>17</v>
      </c>
      <c r="AQ38" s="81" t="s">
        <v>17</v>
      </c>
      <c r="AR38" s="81" t="s">
        <v>17</v>
      </c>
      <c r="AS38" s="81" t="s">
        <v>17</v>
      </c>
      <c r="AT38" s="81" t="s">
        <v>17</v>
      </c>
      <c r="AU38" s="81" t="s">
        <v>17</v>
      </c>
      <c r="AV38" s="81" t="s">
        <v>17</v>
      </c>
      <c r="AW38" s="81" t="s">
        <v>17</v>
      </c>
      <c r="AX38" s="81" t="s">
        <v>17</v>
      </c>
      <c r="AY38" s="81" t="s">
        <v>17</v>
      </c>
      <c r="AZ38" s="81" t="s">
        <v>17</v>
      </c>
      <c r="BA38" s="49"/>
    </row>
    <row r="39" spans="2:53" s="50" customFormat="1" ht="18" hidden="1" customHeight="1">
      <c r="B39" s="85" t="str">
        <f>IF('[1]370 Community Land Assets in or'!B41="","",'[1]370 Community Land Assets in or'!B41)</f>
        <v/>
      </c>
      <c r="C39" s="85" t="str">
        <f>IF('[1]370 Community Land Assets in or'!C42="","",'[1]370 Community Land Assets in or'!C42)</f>
        <v/>
      </c>
      <c r="D39" s="47" t="str">
        <f t="shared" si="2"/>
        <v/>
      </c>
      <c r="E39" s="81" t="str">
        <f>IF('[1]370 Community Land Assets in or'!D42="","",'[1]370 Community Land Assets in or'!D42)</f>
        <v/>
      </c>
      <c r="F39" s="81" t="str">
        <f>IF('[1]370 Community Land Assets in or'!E42="","",'[1]370 Community Land Assets in or'!E42)</f>
        <v/>
      </c>
      <c r="G39" s="81" t="str">
        <f>IF('[1]370 Community Land Assets in or'!F42="","",'[1]370 Community Land Assets in or'!F42)</f>
        <v/>
      </c>
      <c r="H39" s="81" t="str">
        <f>IF('[1]370 Community Land Assets in or'!G42="","",'[1]370 Community Land Assets in or'!G42)</f>
        <v/>
      </c>
      <c r="I39" s="81" t="s">
        <v>17</v>
      </c>
      <c r="J39" s="81" t="s">
        <v>17</v>
      </c>
      <c r="K39" s="81" t="s">
        <v>17</v>
      </c>
      <c r="L39" s="81" t="s">
        <v>17</v>
      </c>
      <c r="M39" s="81" t="s">
        <v>17</v>
      </c>
      <c r="N39" s="81" t="s">
        <v>17</v>
      </c>
      <c r="O39" s="81" t="s">
        <v>17</v>
      </c>
      <c r="P39" s="81" t="s">
        <v>17</v>
      </c>
      <c r="Q39" s="81" t="s">
        <v>17</v>
      </c>
      <c r="R39" s="81" t="s">
        <v>17</v>
      </c>
      <c r="S39" s="81" t="s">
        <v>17</v>
      </c>
      <c r="T39" s="81" t="s">
        <v>17</v>
      </c>
      <c r="U39" s="81" t="s">
        <v>17</v>
      </c>
      <c r="V39" s="81" t="s">
        <v>17</v>
      </c>
      <c r="W39" s="81" t="s">
        <v>17</v>
      </c>
      <c r="X39" s="81" t="s">
        <v>17</v>
      </c>
      <c r="Y39" s="81" t="s">
        <v>17</v>
      </c>
      <c r="Z39" s="81" t="s">
        <v>17</v>
      </c>
      <c r="AA39" s="81" t="s">
        <v>17</v>
      </c>
      <c r="AB39" s="81" t="s">
        <v>17</v>
      </c>
      <c r="AC39" s="81" t="s">
        <v>17</v>
      </c>
      <c r="AD39" s="81" t="s">
        <v>17</v>
      </c>
      <c r="AE39" s="81" t="s">
        <v>17</v>
      </c>
      <c r="AF39" s="81" t="s">
        <v>17</v>
      </c>
      <c r="AG39" s="81" t="s">
        <v>17</v>
      </c>
      <c r="AH39" s="81" t="s">
        <v>17</v>
      </c>
      <c r="AI39" s="81" t="s">
        <v>17</v>
      </c>
      <c r="AJ39" s="81" t="s">
        <v>17</v>
      </c>
      <c r="AK39" s="81" t="s">
        <v>17</v>
      </c>
      <c r="AL39" s="81" t="s">
        <v>17</v>
      </c>
      <c r="AM39" s="81" t="s">
        <v>17</v>
      </c>
      <c r="AN39" s="81" t="s">
        <v>17</v>
      </c>
      <c r="AO39" s="81" t="s">
        <v>17</v>
      </c>
      <c r="AP39" s="81" t="s">
        <v>17</v>
      </c>
      <c r="AQ39" s="81" t="s">
        <v>17</v>
      </c>
      <c r="AR39" s="81" t="s">
        <v>17</v>
      </c>
      <c r="AS39" s="81" t="s">
        <v>17</v>
      </c>
      <c r="AT39" s="81" t="s">
        <v>17</v>
      </c>
      <c r="AU39" s="81" t="s">
        <v>17</v>
      </c>
      <c r="AV39" s="81" t="s">
        <v>17</v>
      </c>
      <c r="AW39" s="81" t="s">
        <v>17</v>
      </c>
      <c r="AX39" s="81" t="s">
        <v>17</v>
      </c>
      <c r="AY39" s="81" t="s">
        <v>17</v>
      </c>
      <c r="AZ39" s="81" t="s">
        <v>17</v>
      </c>
      <c r="BA39" s="49"/>
    </row>
    <row r="40" spans="2:53" s="50" customFormat="1" ht="18" hidden="1" customHeight="1">
      <c r="B40" s="85" t="str">
        <f>IF('[1]370 Community Land Assets in or'!B42="","",'[1]370 Community Land Assets in or'!B42)</f>
        <v/>
      </c>
      <c r="C40" s="85" t="str">
        <f>IF('[1]370 Community Land Assets in or'!C43="","",'[1]370 Community Land Assets in or'!C43)</f>
        <v/>
      </c>
      <c r="D40" s="47" t="str">
        <f t="shared" si="2"/>
        <v/>
      </c>
      <c r="E40" s="81" t="str">
        <f>IF('[1]370 Community Land Assets in or'!D43="","",'[1]370 Community Land Assets in or'!D43)</f>
        <v/>
      </c>
      <c r="F40" s="81" t="str">
        <f>IF('[1]370 Community Land Assets in or'!E43="","",'[1]370 Community Land Assets in or'!E43)</f>
        <v/>
      </c>
      <c r="G40" s="81" t="str">
        <f>IF('[1]370 Community Land Assets in or'!F43="","",'[1]370 Community Land Assets in or'!F43)</f>
        <v/>
      </c>
      <c r="H40" s="81" t="str">
        <f>IF('[1]370 Community Land Assets in or'!G43="","",'[1]370 Community Land Assets in or'!G43)</f>
        <v/>
      </c>
      <c r="I40" s="81" t="s">
        <v>17</v>
      </c>
      <c r="J40" s="81" t="s">
        <v>17</v>
      </c>
      <c r="K40" s="81" t="s">
        <v>17</v>
      </c>
      <c r="L40" s="81" t="s">
        <v>17</v>
      </c>
      <c r="M40" s="81" t="s">
        <v>17</v>
      </c>
      <c r="N40" s="81" t="s">
        <v>17</v>
      </c>
      <c r="O40" s="81" t="s">
        <v>17</v>
      </c>
      <c r="P40" s="81" t="s">
        <v>17</v>
      </c>
      <c r="Q40" s="81" t="s">
        <v>17</v>
      </c>
      <c r="R40" s="81" t="s">
        <v>17</v>
      </c>
      <c r="S40" s="81" t="s">
        <v>17</v>
      </c>
      <c r="T40" s="81" t="s">
        <v>17</v>
      </c>
      <c r="U40" s="81" t="s">
        <v>17</v>
      </c>
      <c r="V40" s="81" t="s">
        <v>17</v>
      </c>
      <c r="W40" s="81" t="s">
        <v>17</v>
      </c>
      <c r="X40" s="81" t="s">
        <v>17</v>
      </c>
      <c r="Y40" s="81" t="s">
        <v>17</v>
      </c>
      <c r="Z40" s="81" t="s">
        <v>17</v>
      </c>
      <c r="AA40" s="81" t="s">
        <v>17</v>
      </c>
      <c r="AB40" s="81" t="s">
        <v>17</v>
      </c>
      <c r="AC40" s="81" t="s">
        <v>17</v>
      </c>
      <c r="AD40" s="81" t="s">
        <v>17</v>
      </c>
      <c r="AE40" s="81" t="s">
        <v>17</v>
      </c>
      <c r="AF40" s="81" t="s">
        <v>17</v>
      </c>
      <c r="AG40" s="81" t="s">
        <v>17</v>
      </c>
      <c r="AH40" s="81" t="s">
        <v>17</v>
      </c>
      <c r="AI40" s="81" t="s">
        <v>17</v>
      </c>
      <c r="AJ40" s="81" t="s">
        <v>17</v>
      </c>
      <c r="AK40" s="81" t="s">
        <v>17</v>
      </c>
      <c r="AL40" s="81" t="s">
        <v>17</v>
      </c>
      <c r="AM40" s="81" t="s">
        <v>17</v>
      </c>
      <c r="AN40" s="81" t="s">
        <v>17</v>
      </c>
      <c r="AO40" s="81" t="s">
        <v>17</v>
      </c>
      <c r="AP40" s="81" t="s">
        <v>17</v>
      </c>
      <c r="AQ40" s="81" t="s">
        <v>17</v>
      </c>
      <c r="AR40" s="81" t="s">
        <v>17</v>
      </c>
      <c r="AS40" s="81" t="s">
        <v>17</v>
      </c>
      <c r="AT40" s="81" t="s">
        <v>17</v>
      </c>
      <c r="AU40" s="81" t="s">
        <v>17</v>
      </c>
      <c r="AV40" s="81" t="s">
        <v>17</v>
      </c>
      <c r="AW40" s="81" t="s">
        <v>17</v>
      </c>
      <c r="AX40" s="81" t="s">
        <v>17</v>
      </c>
      <c r="AY40" s="81" t="s">
        <v>17</v>
      </c>
      <c r="AZ40" s="81" t="s">
        <v>17</v>
      </c>
      <c r="BA40" s="49"/>
    </row>
    <row r="41" spans="2:53" s="50" customFormat="1" ht="18" hidden="1" customHeight="1">
      <c r="B41" s="85" t="str">
        <f>IF('[1]370 Community Land Assets in or'!B43="","",'[1]370 Community Land Assets in or'!B43)</f>
        <v/>
      </c>
      <c r="C41" s="85" t="str">
        <f>IF('[1]370 Community Land Assets in or'!C44="","",'[1]370 Community Land Assets in or'!C44)</f>
        <v/>
      </c>
      <c r="D41" s="47" t="str">
        <f t="shared" si="2"/>
        <v/>
      </c>
      <c r="E41" s="81" t="str">
        <f>IF('[1]370 Community Land Assets in or'!D44="","",'[1]370 Community Land Assets in or'!D44)</f>
        <v/>
      </c>
      <c r="F41" s="81" t="str">
        <f>IF('[1]370 Community Land Assets in or'!E44="","",'[1]370 Community Land Assets in or'!E44)</f>
        <v/>
      </c>
      <c r="G41" s="81" t="str">
        <f>IF('[1]370 Community Land Assets in or'!F44="","",'[1]370 Community Land Assets in or'!F44)</f>
        <v/>
      </c>
      <c r="H41" s="81" t="str">
        <f>IF('[1]370 Community Land Assets in or'!G44="","",'[1]370 Community Land Assets in or'!G44)</f>
        <v/>
      </c>
      <c r="I41" s="81" t="s">
        <v>17</v>
      </c>
      <c r="J41" s="81" t="s">
        <v>17</v>
      </c>
      <c r="K41" s="81" t="s">
        <v>17</v>
      </c>
      <c r="L41" s="81" t="s">
        <v>17</v>
      </c>
      <c r="M41" s="81" t="s">
        <v>17</v>
      </c>
      <c r="N41" s="81" t="s">
        <v>17</v>
      </c>
      <c r="O41" s="81" t="s">
        <v>17</v>
      </c>
      <c r="P41" s="81" t="s">
        <v>17</v>
      </c>
      <c r="Q41" s="81" t="s">
        <v>17</v>
      </c>
      <c r="R41" s="81" t="s">
        <v>17</v>
      </c>
      <c r="S41" s="81" t="s">
        <v>17</v>
      </c>
      <c r="T41" s="81" t="s">
        <v>17</v>
      </c>
      <c r="U41" s="81" t="s">
        <v>17</v>
      </c>
      <c r="V41" s="81" t="s">
        <v>17</v>
      </c>
      <c r="W41" s="81" t="s">
        <v>17</v>
      </c>
      <c r="X41" s="81" t="s">
        <v>17</v>
      </c>
      <c r="Y41" s="81" t="s">
        <v>17</v>
      </c>
      <c r="Z41" s="81" t="s">
        <v>17</v>
      </c>
      <c r="AA41" s="81" t="s">
        <v>17</v>
      </c>
      <c r="AB41" s="81" t="s">
        <v>17</v>
      </c>
      <c r="AC41" s="81" t="s">
        <v>17</v>
      </c>
      <c r="AD41" s="81" t="s">
        <v>17</v>
      </c>
      <c r="AE41" s="81" t="s">
        <v>17</v>
      </c>
      <c r="AF41" s="81" t="s">
        <v>17</v>
      </c>
      <c r="AG41" s="81" t="s">
        <v>17</v>
      </c>
      <c r="AH41" s="81" t="s">
        <v>17</v>
      </c>
      <c r="AI41" s="81" t="s">
        <v>17</v>
      </c>
      <c r="AJ41" s="81" t="s">
        <v>17</v>
      </c>
      <c r="AK41" s="81" t="s">
        <v>17</v>
      </c>
      <c r="AL41" s="81" t="s">
        <v>17</v>
      </c>
      <c r="AM41" s="81" t="s">
        <v>17</v>
      </c>
      <c r="AN41" s="81" t="s">
        <v>17</v>
      </c>
      <c r="AO41" s="81" t="s">
        <v>17</v>
      </c>
      <c r="AP41" s="81" t="s">
        <v>17</v>
      </c>
      <c r="AQ41" s="81" t="s">
        <v>17</v>
      </c>
      <c r="AR41" s="81" t="s">
        <v>17</v>
      </c>
      <c r="AS41" s="81" t="s">
        <v>17</v>
      </c>
      <c r="AT41" s="81" t="s">
        <v>17</v>
      </c>
      <c r="AU41" s="81" t="s">
        <v>17</v>
      </c>
      <c r="AV41" s="81" t="s">
        <v>17</v>
      </c>
      <c r="AW41" s="81" t="s">
        <v>17</v>
      </c>
      <c r="AX41" s="81" t="s">
        <v>17</v>
      </c>
      <c r="AY41" s="81" t="s">
        <v>17</v>
      </c>
      <c r="AZ41" s="81" t="s">
        <v>17</v>
      </c>
      <c r="BA41" s="49"/>
    </row>
    <row r="42" spans="2:53" s="50" customFormat="1" ht="18" hidden="1" customHeight="1">
      <c r="B42" s="85" t="str">
        <f>IF('[1]370 Community Land Assets in or'!B44="","",'[1]370 Community Land Assets in or'!B44)</f>
        <v/>
      </c>
      <c r="C42" s="85" t="str">
        <f>IF('[1]370 Community Land Assets in or'!C45="","",'[1]370 Community Land Assets in or'!C45)</f>
        <v/>
      </c>
      <c r="D42" s="47" t="str">
        <f t="shared" si="2"/>
        <v/>
      </c>
      <c r="E42" s="81" t="str">
        <f>IF('[1]370 Community Land Assets in or'!D45="","",'[1]370 Community Land Assets in or'!D45)</f>
        <v/>
      </c>
      <c r="F42" s="81" t="str">
        <f>IF('[1]370 Community Land Assets in or'!E45="","",'[1]370 Community Land Assets in or'!E45)</f>
        <v/>
      </c>
      <c r="G42" s="81" t="str">
        <f>IF('[1]370 Community Land Assets in or'!F45="","",'[1]370 Community Land Assets in or'!F45)</f>
        <v/>
      </c>
      <c r="H42" s="81" t="str">
        <f>IF('[1]370 Community Land Assets in or'!G45="","",'[1]370 Community Land Assets in or'!G45)</f>
        <v/>
      </c>
      <c r="I42" s="81" t="s">
        <v>17</v>
      </c>
      <c r="J42" s="81" t="s">
        <v>17</v>
      </c>
      <c r="K42" s="81" t="s">
        <v>17</v>
      </c>
      <c r="L42" s="81" t="s">
        <v>17</v>
      </c>
      <c r="M42" s="81" t="s">
        <v>17</v>
      </c>
      <c r="N42" s="81" t="s">
        <v>17</v>
      </c>
      <c r="O42" s="81" t="s">
        <v>17</v>
      </c>
      <c r="P42" s="81" t="s">
        <v>17</v>
      </c>
      <c r="Q42" s="81" t="s">
        <v>17</v>
      </c>
      <c r="R42" s="81" t="s">
        <v>17</v>
      </c>
      <c r="S42" s="81" t="s">
        <v>17</v>
      </c>
      <c r="T42" s="81" t="s">
        <v>17</v>
      </c>
      <c r="U42" s="81" t="s">
        <v>17</v>
      </c>
      <c r="V42" s="81" t="s">
        <v>17</v>
      </c>
      <c r="W42" s="81" t="s">
        <v>17</v>
      </c>
      <c r="X42" s="81" t="s">
        <v>17</v>
      </c>
      <c r="Y42" s="81" t="s">
        <v>17</v>
      </c>
      <c r="Z42" s="81" t="s">
        <v>17</v>
      </c>
      <c r="AA42" s="81" t="s">
        <v>17</v>
      </c>
      <c r="AB42" s="81" t="s">
        <v>17</v>
      </c>
      <c r="AC42" s="81" t="s">
        <v>17</v>
      </c>
      <c r="AD42" s="81" t="s">
        <v>17</v>
      </c>
      <c r="AE42" s="81" t="s">
        <v>17</v>
      </c>
      <c r="AF42" s="81" t="s">
        <v>17</v>
      </c>
      <c r="AG42" s="81" t="s">
        <v>17</v>
      </c>
      <c r="AH42" s="81" t="s">
        <v>17</v>
      </c>
      <c r="AI42" s="81" t="s">
        <v>17</v>
      </c>
      <c r="AJ42" s="81" t="s">
        <v>17</v>
      </c>
      <c r="AK42" s="81" t="s">
        <v>17</v>
      </c>
      <c r="AL42" s="81" t="s">
        <v>17</v>
      </c>
      <c r="AM42" s="81" t="s">
        <v>17</v>
      </c>
      <c r="AN42" s="81" t="s">
        <v>17</v>
      </c>
      <c r="AO42" s="81" t="s">
        <v>17</v>
      </c>
      <c r="AP42" s="81" t="s">
        <v>17</v>
      </c>
      <c r="AQ42" s="81" t="s">
        <v>17</v>
      </c>
      <c r="AR42" s="81" t="s">
        <v>17</v>
      </c>
      <c r="AS42" s="81" t="s">
        <v>17</v>
      </c>
      <c r="AT42" s="81" t="s">
        <v>17</v>
      </c>
      <c r="AU42" s="81" t="s">
        <v>17</v>
      </c>
      <c r="AV42" s="81" t="s">
        <v>17</v>
      </c>
      <c r="AW42" s="81" t="s">
        <v>17</v>
      </c>
      <c r="AX42" s="81" t="s">
        <v>17</v>
      </c>
      <c r="AY42" s="81" t="s">
        <v>17</v>
      </c>
      <c r="AZ42" s="81" t="s">
        <v>17</v>
      </c>
      <c r="BA42" s="49"/>
    </row>
    <row r="43" spans="2:53" s="50" customFormat="1" ht="18" hidden="1" customHeight="1">
      <c r="B43" s="85" t="str">
        <f>IF('[1]370 Community Land Assets in or'!B45="","",'[1]370 Community Land Assets in or'!B45)</f>
        <v/>
      </c>
      <c r="C43" s="85" t="str">
        <f>IF('[1]370 Community Land Assets in or'!C46="","",'[1]370 Community Land Assets in or'!C46)</f>
        <v/>
      </c>
      <c r="D43" s="47" t="str">
        <f t="shared" si="2"/>
        <v/>
      </c>
      <c r="E43" s="81" t="str">
        <f>IF('[1]370 Community Land Assets in or'!D46="","",'[1]370 Community Land Assets in or'!D46)</f>
        <v/>
      </c>
      <c r="F43" s="81" t="str">
        <f>IF('[1]370 Community Land Assets in or'!E46="","",'[1]370 Community Land Assets in or'!E46)</f>
        <v/>
      </c>
      <c r="G43" s="81" t="str">
        <f>IF('[1]370 Community Land Assets in or'!F46="","",'[1]370 Community Land Assets in or'!F46)</f>
        <v/>
      </c>
      <c r="H43" s="81" t="str">
        <f>IF('[1]370 Community Land Assets in or'!G46="","",'[1]370 Community Land Assets in or'!G46)</f>
        <v/>
      </c>
      <c r="I43" s="81" t="s">
        <v>17</v>
      </c>
      <c r="J43" s="81" t="s">
        <v>17</v>
      </c>
      <c r="K43" s="81" t="s">
        <v>17</v>
      </c>
      <c r="L43" s="81" t="s">
        <v>17</v>
      </c>
      <c r="M43" s="81" t="s">
        <v>17</v>
      </c>
      <c r="N43" s="81" t="s">
        <v>17</v>
      </c>
      <c r="O43" s="81" t="s">
        <v>17</v>
      </c>
      <c r="P43" s="81" t="s">
        <v>17</v>
      </c>
      <c r="Q43" s="81" t="s">
        <v>17</v>
      </c>
      <c r="R43" s="81" t="s">
        <v>17</v>
      </c>
      <c r="S43" s="81" t="s">
        <v>17</v>
      </c>
      <c r="T43" s="81" t="s">
        <v>17</v>
      </c>
      <c r="U43" s="81" t="s">
        <v>17</v>
      </c>
      <c r="V43" s="81" t="s">
        <v>17</v>
      </c>
      <c r="W43" s="81" t="s">
        <v>17</v>
      </c>
      <c r="X43" s="81" t="s">
        <v>17</v>
      </c>
      <c r="Y43" s="81" t="s">
        <v>17</v>
      </c>
      <c r="Z43" s="81" t="s">
        <v>17</v>
      </c>
      <c r="AA43" s="81" t="s">
        <v>17</v>
      </c>
      <c r="AB43" s="81" t="s">
        <v>17</v>
      </c>
      <c r="AC43" s="81" t="s">
        <v>17</v>
      </c>
      <c r="AD43" s="81" t="s">
        <v>17</v>
      </c>
      <c r="AE43" s="81" t="s">
        <v>17</v>
      </c>
      <c r="AF43" s="81" t="s">
        <v>17</v>
      </c>
      <c r="AG43" s="81" t="s">
        <v>17</v>
      </c>
      <c r="AH43" s="81" t="s">
        <v>17</v>
      </c>
      <c r="AI43" s="81" t="s">
        <v>17</v>
      </c>
      <c r="AJ43" s="81" t="s">
        <v>17</v>
      </c>
      <c r="AK43" s="81" t="s">
        <v>17</v>
      </c>
      <c r="AL43" s="81" t="s">
        <v>17</v>
      </c>
      <c r="AM43" s="81" t="s">
        <v>17</v>
      </c>
      <c r="AN43" s="81" t="s">
        <v>17</v>
      </c>
      <c r="AO43" s="81" t="s">
        <v>17</v>
      </c>
      <c r="AP43" s="81" t="s">
        <v>17</v>
      </c>
      <c r="AQ43" s="81" t="s">
        <v>17</v>
      </c>
      <c r="AR43" s="81" t="s">
        <v>17</v>
      </c>
      <c r="AS43" s="81" t="s">
        <v>17</v>
      </c>
      <c r="AT43" s="81" t="s">
        <v>17</v>
      </c>
      <c r="AU43" s="81" t="s">
        <v>17</v>
      </c>
      <c r="AV43" s="81" t="s">
        <v>17</v>
      </c>
      <c r="AW43" s="81" t="s">
        <v>17</v>
      </c>
      <c r="AX43" s="81" t="s">
        <v>17</v>
      </c>
      <c r="AY43" s="81" t="s">
        <v>17</v>
      </c>
      <c r="AZ43" s="81" t="s">
        <v>17</v>
      </c>
      <c r="BA43" s="49"/>
    </row>
    <row r="44" spans="2:53" s="50" customFormat="1" ht="18" hidden="1" customHeight="1">
      <c r="B44" s="85" t="str">
        <f>IF('[1]370 Community Land Assets in or'!B46="","",'[1]370 Community Land Assets in or'!B46)</f>
        <v/>
      </c>
      <c r="C44" s="85" t="str">
        <f>IF('[1]370 Community Land Assets in or'!C47="","",'[1]370 Community Land Assets in or'!C47)</f>
        <v/>
      </c>
      <c r="D44" s="47" t="str">
        <f t="shared" si="2"/>
        <v/>
      </c>
      <c r="E44" s="81" t="str">
        <f>IF('[1]370 Community Land Assets in or'!D47="","",'[1]370 Community Land Assets in or'!D47)</f>
        <v/>
      </c>
      <c r="F44" s="81" t="str">
        <f>IF('[1]370 Community Land Assets in or'!E47="","",'[1]370 Community Land Assets in or'!E47)</f>
        <v/>
      </c>
      <c r="G44" s="81" t="str">
        <f>IF('[1]370 Community Land Assets in or'!F47="","",'[1]370 Community Land Assets in or'!F47)</f>
        <v/>
      </c>
      <c r="H44" s="81" t="str">
        <f>IF('[1]370 Community Land Assets in or'!G47="","",'[1]370 Community Land Assets in or'!G47)</f>
        <v/>
      </c>
      <c r="I44" s="81" t="s">
        <v>17</v>
      </c>
      <c r="J44" s="81" t="s">
        <v>17</v>
      </c>
      <c r="K44" s="81" t="s">
        <v>17</v>
      </c>
      <c r="L44" s="81" t="s">
        <v>17</v>
      </c>
      <c r="M44" s="81" t="s">
        <v>17</v>
      </c>
      <c r="N44" s="81" t="s">
        <v>17</v>
      </c>
      <c r="O44" s="81" t="s">
        <v>17</v>
      </c>
      <c r="P44" s="81" t="s">
        <v>17</v>
      </c>
      <c r="Q44" s="81" t="s">
        <v>17</v>
      </c>
      <c r="R44" s="81" t="s">
        <v>17</v>
      </c>
      <c r="S44" s="81" t="s">
        <v>17</v>
      </c>
      <c r="T44" s="81" t="s">
        <v>17</v>
      </c>
      <c r="U44" s="81" t="s">
        <v>17</v>
      </c>
      <c r="V44" s="81" t="s">
        <v>17</v>
      </c>
      <c r="W44" s="81" t="s">
        <v>17</v>
      </c>
      <c r="X44" s="81" t="s">
        <v>17</v>
      </c>
      <c r="Y44" s="81" t="s">
        <v>17</v>
      </c>
      <c r="Z44" s="81" t="s">
        <v>17</v>
      </c>
      <c r="AA44" s="81" t="s">
        <v>17</v>
      </c>
      <c r="AB44" s="81" t="s">
        <v>17</v>
      </c>
      <c r="AC44" s="81" t="s">
        <v>17</v>
      </c>
      <c r="AD44" s="81" t="s">
        <v>17</v>
      </c>
      <c r="AE44" s="81" t="s">
        <v>17</v>
      </c>
      <c r="AF44" s="81" t="s">
        <v>17</v>
      </c>
      <c r="AG44" s="81" t="s">
        <v>17</v>
      </c>
      <c r="AH44" s="81" t="s">
        <v>17</v>
      </c>
      <c r="AI44" s="81" t="s">
        <v>17</v>
      </c>
      <c r="AJ44" s="81" t="s">
        <v>17</v>
      </c>
      <c r="AK44" s="81" t="s">
        <v>17</v>
      </c>
      <c r="AL44" s="81" t="s">
        <v>17</v>
      </c>
      <c r="AM44" s="81" t="s">
        <v>17</v>
      </c>
      <c r="AN44" s="81" t="s">
        <v>17</v>
      </c>
      <c r="AO44" s="81" t="s">
        <v>17</v>
      </c>
      <c r="AP44" s="81" t="s">
        <v>17</v>
      </c>
      <c r="AQ44" s="81" t="s">
        <v>17</v>
      </c>
      <c r="AR44" s="81" t="s">
        <v>17</v>
      </c>
      <c r="AS44" s="81" t="s">
        <v>17</v>
      </c>
      <c r="AT44" s="81" t="s">
        <v>17</v>
      </c>
      <c r="AU44" s="81" t="s">
        <v>17</v>
      </c>
      <c r="AV44" s="81" t="s">
        <v>17</v>
      </c>
      <c r="AW44" s="81" t="s">
        <v>17</v>
      </c>
      <c r="AX44" s="81" t="s">
        <v>17</v>
      </c>
      <c r="AY44" s="81" t="s">
        <v>17</v>
      </c>
      <c r="AZ44" s="81" t="s">
        <v>17</v>
      </c>
      <c r="BA44" s="49"/>
    </row>
    <row r="45" spans="2:53" s="50" customFormat="1" ht="18" hidden="1" customHeight="1">
      <c r="B45" s="85" t="str">
        <f>IF('[1]370 Community Land Assets in or'!B47="","",'[1]370 Community Land Assets in or'!B47)</f>
        <v/>
      </c>
      <c r="C45" s="85" t="str">
        <f>IF('[1]370 Community Land Assets in or'!C48="","",'[1]370 Community Land Assets in or'!C48)</f>
        <v/>
      </c>
      <c r="D45" s="47" t="str">
        <f t="shared" si="2"/>
        <v/>
      </c>
      <c r="E45" s="81" t="str">
        <f>IF('[1]370 Community Land Assets in or'!D48="","",'[1]370 Community Land Assets in or'!D48)</f>
        <v/>
      </c>
      <c r="F45" s="81" t="str">
        <f>IF('[1]370 Community Land Assets in or'!E48="","",'[1]370 Community Land Assets in or'!E48)</f>
        <v/>
      </c>
      <c r="G45" s="81" t="str">
        <f>IF('[1]370 Community Land Assets in or'!F48="","",'[1]370 Community Land Assets in or'!F48)</f>
        <v/>
      </c>
      <c r="H45" s="81" t="str">
        <f>IF('[1]370 Community Land Assets in or'!G48="","",'[1]370 Community Land Assets in or'!G48)</f>
        <v/>
      </c>
      <c r="I45" s="81" t="s">
        <v>17</v>
      </c>
      <c r="J45" s="81" t="s">
        <v>17</v>
      </c>
      <c r="K45" s="81" t="s">
        <v>17</v>
      </c>
      <c r="L45" s="81" t="s">
        <v>17</v>
      </c>
      <c r="M45" s="81" t="s">
        <v>17</v>
      </c>
      <c r="N45" s="81" t="s">
        <v>17</v>
      </c>
      <c r="O45" s="81" t="s">
        <v>17</v>
      </c>
      <c r="P45" s="81" t="s">
        <v>17</v>
      </c>
      <c r="Q45" s="81" t="s">
        <v>17</v>
      </c>
      <c r="R45" s="81" t="s">
        <v>17</v>
      </c>
      <c r="S45" s="81" t="s">
        <v>17</v>
      </c>
      <c r="T45" s="81" t="s">
        <v>17</v>
      </c>
      <c r="U45" s="81" t="s">
        <v>17</v>
      </c>
      <c r="V45" s="81" t="s">
        <v>17</v>
      </c>
      <c r="W45" s="81" t="s">
        <v>17</v>
      </c>
      <c r="X45" s="81" t="s">
        <v>17</v>
      </c>
      <c r="Y45" s="81" t="s">
        <v>17</v>
      </c>
      <c r="Z45" s="81" t="s">
        <v>17</v>
      </c>
      <c r="AA45" s="81" t="s">
        <v>17</v>
      </c>
      <c r="AB45" s="81" t="s">
        <v>17</v>
      </c>
      <c r="AC45" s="81" t="s">
        <v>17</v>
      </c>
      <c r="AD45" s="81" t="s">
        <v>17</v>
      </c>
      <c r="AE45" s="81" t="s">
        <v>17</v>
      </c>
      <c r="AF45" s="81" t="s">
        <v>17</v>
      </c>
      <c r="AG45" s="81" t="s">
        <v>17</v>
      </c>
      <c r="AH45" s="81" t="s">
        <v>17</v>
      </c>
      <c r="AI45" s="81" t="s">
        <v>17</v>
      </c>
      <c r="AJ45" s="81" t="s">
        <v>17</v>
      </c>
      <c r="AK45" s="81" t="s">
        <v>17</v>
      </c>
      <c r="AL45" s="81" t="s">
        <v>17</v>
      </c>
      <c r="AM45" s="81" t="s">
        <v>17</v>
      </c>
      <c r="AN45" s="81" t="s">
        <v>17</v>
      </c>
      <c r="AO45" s="81" t="s">
        <v>17</v>
      </c>
      <c r="AP45" s="81" t="s">
        <v>17</v>
      </c>
      <c r="AQ45" s="81" t="s">
        <v>17</v>
      </c>
      <c r="AR45" s="81" t="s">
        <v>17</v>
      </c>
      <c r="AS45" s="81" t="s">
        <v>17</v>
      </c>
      <c r="AT45" s="81" t="s">
        <v>17</v>
      </c>
      <c r="AU45" s="81" t="s">
        <v>17</v>
      </c>
      <c r="AV45" s="81" t="s">
        <v>17</v>
      </c>
      <c r="AW45" s="81" t="s">
        <v>17</v>
      </c>
      <c r="AX45" s="81" t="s">
        <v>17</v>
      </c>
      <c r="AY45" s="81" t="s">
        <v>17</v>
      </c>
      <c r="AZ45" s="81" t="s">
        <v>17</v>
      </c>
      <c r="BA45" s="49"/>
    </row>
    <row r="46" spans="2:53" s="50" customFormat="1" ht="18" hidden="1" customHeight="1">
      <c r="B46" s="85" t="str">
        <f>IF('[1]370 Community Land Assets in or'!B48="","",'[1]370 Community Land Assets in or'!B48)</f>
        <v/>
      </c>
      <c r="C46" s="85" t="str">
        <f>IF('[1]370 Community Land Assets in or'!C49="","",'[1]370 Community Land Assets in or'!C49)</f>
        <v/>
      </c>
      <c r="D46" s="47" t="str">
        <f t="shared" si="2"/>
        <v/>
      </c>
      <c r="E46" s="81" t="str">
        <f>IF('[1]370 Community Land Assets in or'!D49="","",'[1]370 Community Land Assets in or'!D49)</f>
        <v/>
      </c>
      <c r="F46" s="81" t="str">
        <f>IF('[1]370 Community Land Assets in or'!E49="","",'[1]370 Community Land Assets in or'!E49)</f>
        <v/>
      </c>
      <c r="G46" s="81" t="str">
        <f>IF('[1]370 Community Land Assets in or'!F49="","",'[1]370 Community Land Assets in or'!F49)</f>
        <v/>
      </c>
      <c r="H46" s="81" t="str">
        <f>IF('[1]370 Community Land Assets in or'!G49="","",'[1]370 Community Land Assets in or'!G49)</f>
        <v/>
      </c>
      <c r="I46" s="81" t="s">
        <v>17</v>
      </c>
      <c r="J46" s="81" t="s">
        <v>17</v>
      </c>
      <c r="K46" s="81" t="s">
        <v>17</v>
      </c>
      <c r="L46" s="81" t="s">
        <v>17</v>
      </c>
      <c r="M46" s="81" t="s">
        <v>17</v>
      </c>
      <c r="N46" s="81" t="s">
        <v>17</v>
      </c>
      <c r="O46" s="81" t="s">
        <v>17</v>
      </c>
      <c r="P46" s="81" t="s">
        <v>17</v>
      </c>
      <c r="Q46" s="81" t="s">
        <v>17</v>
      </c>
      <c r="R46" s="81" t="s">
        <v>17</v>
      </c>
      <c r="S46" s="81" t="s">
        <v>17</v>
      </c>
      <c r="T46" s="81" t="s">
        <v>17</v>
      </c>
      <c r="U46" s="81" t="s">
        <v>17</v>
      </c>
      <c r="V46" s="81" t="s">
        <v>17</v>
      </c>
      <c r="W46" s="81" t="s">
        <v>17</v>
      </c>
      <c r="X46" s="81" t="s">
        <v>17</v>
      </c>
      <c r="Y46" s="81" t="s">
        <v>17</v>
      </c>
      <c r="Z46" s="81" t="s">
        <v>17</v>
      </c>
      <c r="AA46" s="81" t="s">
        <v>17</v>
      </c>
      <c r="AB46" s="81" t="s">
        <v>17</v>
      </c>
      <c r="AC46" s="81" t="s">
        <v>17</v>
      </c>
      <c r="AD46" s="81" t="s">
        <v>17</v>
      </c>
      <c r="AE46" s="81" t="s">
        <v>17</v>
      </c>
      <c r="AF46" s="81" t="s">
        <v>17</v>
      </c>
      <c r="AG46" s="81" t="s">
        <v>17</v>
      </c>
      <c r="AH46" s="81" t="s">
        <v>17</v>
      </c>
      <c r="AI46" s="81" t="s">
        <v>17</v>
      </c>
      <c r="AJ46" s="81" t="s">
        <v>17</v>
      </c>
      <c r="AK46" s="81" t="s">
        <v>17</v>
      </c>
      <c r="AL46" s="81" t="s">
        <v>17</v>
      </c>
      <c r="AM46" s="81" t="s">
        <v>17</v>
      </c>
      <c r="AN46" s="81" t="s">
        <v>17</v>
      </c>
      <c r="AO46" s="81" t="s">
        <v>17</v>
      </c>
      <c r="AP46" s="81" t="s">
        <v>17</v>
      </c>
      <c r="AQ46" s="81" t="s">
        <v>17</v>
      </c>
      <c r="AR46" s="81" t="s">
        <v>17</v>
      </c>
      <c r="AS46" s="81" t="s">
        <v>17</v>
      </c>
      <c r="AT46" s="81" t="s">
        <v>17</v>
      </c>
      <c r="AU46" s="81" t="s">
        <v>17</v>
      </c>
      <c r="AV46" s="81" t="s">
        <v>17</v>
      </c>
      <c r="AW46" s="81" t="s">
        <v>17</v>
      </c>
      <c r="AX46" s="81" t="s">
        <v>17</v>
      </c>
      <c r="AY46" s="81" t="s">
        <v>17</v>
      </c>
      <c r="AZ46" s="81" t="s">
        <v>17</v>
      </c>
      <c r="BA46" s="49"/>
    </row>
    <row r="47" spans="2:53" s="50" customFormat="1" ht="18" hidden="1" customHeight="1">
      <c r="B47" s="85" t="str">
        <f>IF('[1]370 Community Land Assets in or'!B49="","",'[1]370 Community Land Assets in or'!B49)</f>
        <v/>
      </c>
      <c r="C47" s="85" t="str">
        <f>IF('[1]370 Community Land Assets in or'!C50="","",'[1]370 Community Land Assets in or'!C50)</f>
        <v/>
      </c>
      <c r="D47" s="47" t="str">
        <f t="shared" si="2"/>
        <v/>
      </c>
      <c r="E47" s="81" t="str">
        <f>IF('[1]370 Community Land Assets in or'!D50="","",'[1]370 Community Land Assets in or'!D50)</f>
        <v/>
      </c>
      <c r="F47" s="81" t="str">
        <f>IF('[1]370 Community Land Assets in or'!E50="","",'[1]370 Community Land Assets in or'!E50)</f>
        <v/>
      </c>
      <c r="G47" s="81" t="str">
        <f>IF('[1]370 Community Land Assets in or'!F50="","",'[1]370 Community Land Assets in or'!F50)</f>
        <v/>
      </c>
      <c r="H47" s="81" t="str">
        <f>IF('[1]370 Community Land Assets in or'!G50="","",'[1]370 Community Land Assets in or'!G50)</f>
        <v/>
      </c>
      <c r="I47" s="81" t="s">
        <v>17</v>
      </c>
      <c r="J47" s="81" t="s">
        <v>17</v>
      </c>
      <c r="K47" s="81" t="s">
        <v>17</v>
      </c>
      <c r="L47" s="81" t="s">
        <v>17</v>
      </c>
      <c r="M47" s="81" t="s">
        <v>17</v>
      </c>
      <c r="N47" s="81" t="s">
        <v>17</v>
      </c>
      <c r="O47" s="81" t="s">
        <v>17</v>
      </c>
      <c r="P47" s="81" t="s">
        <v>17</v>
      </c>
      <c r="Q47" s="81" t="s">
        <v>17</v>
      </c>
      <c r="R47" s="81" t="s">
        <v>17</v>
      </c>
      <c r="S47" s="81" t="s">
        <v>17</v>
      </c>
      <c r="T47" s="81" t="s">
        <v>17</v>
      </c>
      <c r="U47" s="81" t="s">
        <v>17</v>
      </c>
      <c r="V47" s="81" t="s">
        <v>17</v>
      </c>
      <c r="W47" s="81" t="s">
        <v>17</v>
      </c>
      <c r="X47" s="81" t="s">
        <v>17</v>
      </c>
      <c r="Y47" s="81" t="s">
        <v>17</v>
      </c>
      <c r="Z47" s="81" t="s">
        <v>17</v>
      </c>
      <c r="AA47" s="81" t="s">
        <v>17</v>
      </c>
      <c r="AB47" s="81" t="s">
        <v>17</v>
      </c>
      <c r="AC47" s="81" t="s">
        <v>17</v>
      </c>
      <c r="AD47" s="81" t="s">
        <v>17</v>
      </c>
      <c r="AE47" s="81" t="s">
        <v>17</v>
      </c>
      <c r="AF47" s="81" t="s">
        <v>17</v>
      </c>
      <c r="AG47" s="81" t="s">
        <v>17</v>
      </c>
      <c r="AH47" s="81" t="s">
        <v>17</v>
      </c>
      <c r="AI47" s="81" t="s">
        <v>17</v>
      </c>
      <c r="AJ47" s="81" t="s">
        <v>17</v>
      </c>
      <c r="AK47" s="81" t="s">
        <v>17</v>
      </c>
      <c r="AL47" s="81" t="s">
        <v>17</v>
      </c>
      <c r="AM47" s="81" t="s">
        <v>17</v>
      </c>
      <c r="AN47" s="81" t="s">
        <v>17</v>
      </c>
      <c r="AO47" s="81" t="s">
        <v>17</v>
      </c>
      <c r="AP47" s="81" t="s">
        <v>17</v>
      </c>
      <c r="AQ47" s="81" t="s">
        <v>17</v>
      </c>
      <c r="AR47" s="81" t="s">
        <v>17</v>
      </c>
      <c r="AS47" s="81" t="s">
        <v>17</v>
      </c>
      <c r="AT47" s="81" t="s">
        <v>17</v>
      </c>
      <c r="AU47" s="81" t="s">
        <v>17</v>
      </c>
      <c r="AV47" s="81" t="s">
        <v>17</v>
      </c>
      <c r="AW47" s="81" t="s">
        <v>17</v>
      </c>
      <c r="AX47" s="81" t="s">
        <v>17</v>
      </c>
      <c r="AY47" s="81" t="s">
        <v>17</v>
      </c>
      <c r="AZ47" s="81" t="s">
        <v>17</v>
      </c>
      <c r="BA47" s="49"/>
    </row>
    <row r="48" spans="2:53" s="50" customFormat="1" ht="18" hidden="1" customHeight="1">
      <c r="B48" s="85" t="str">
        <f>IF('[1]370 Community Land Assets in or'!B50="","",'[1]370 Community Land Assets in or'!B50)</f>
        <v/>
      </c>
      <c r="C48" s="85" t="str">
        <f>IF('[1]370 Community Land Assets in or'!C51="","",'[1]370 Community Land Assets in or'!C51)</f>
        <v/>
      </c>
      <c r="D48" s="47" t="str">
        <f t="shared" si="2"/>
        <v/>
      </c>
      <c r="E48" s="81" t="str">
        <f>IF('[1]370 Community Land Assets in or'!D51="","",'[1]370 Community Land Assets in or'!D51)</f>
        <v/>
      </c>
      <c r="F48" s="81" t="str">
        <f>IF('[1]370 Community Land Assets in or'!E51="","",'[1]370 Community Land Assets in or'!E51)</f>
        <v/>
      </c>
      <c r="G48" s="81" t="str">
        <f>IF('[1]370 Community Land Assets in or'!F51="","",'[1]370 Community Land Assets in or'!F51)</f>
        <v/>
      </c>
      <c r="H48" s="81" t="str">
        <f>IF('[1]370 Community Land Assets in or'!G51="","",'[1]370 Community Land Assets in or'!G51)</f>
        <v/>
      </c>
      <c r="I48" s="81" t="s">
        <v>17</v>
      </c>
      <c r="J48" s="81" t="s">
        <v>17</v>
      </c>
      <c r="K48" s="81" t="s">
        <v>17</v>
      </c>
      <c r="L48" s="81" t="s">
        <v>17</v>
      </c>
      <c r="M48" s="81" t="s">
        <v>17</v>
      </c>
      <c r="N48" s="81" t="s">
        <v>17</v>
      </c>
      <c r="O48" s="81" t="s">
        <v>17</v>
      </c>
      <c r="P48" s="81" t="s">
        <v>17</v>
      </c>
      <c r="Q48" s="81" t="s">
        <v>17</v>
      </c>
      <c r="R48" s="81" t="s">
        <v>17</v>
      </c>
      <c r="S48" s="81" t="s">
        <v>17</v>
      </c>
      <c r="T48" s="81" t="s">
        <v>17</v>
      </c>
      <c r="U48" s="81" t="s">
        <v>17</v>
      </c>
      <c r="V48" s="81" t="s">
        <v>17</v>
      </c>
      <c r="W48" s="81" t="s">
        <v>17</v>
      </c>
      <c r="X48" s="81" t="s">
        <v>17</v>
      </c>
      <c r="Y48" s="81" t="s">
        <v>17</v>
      </c>
      <c r="Z48" s="81" t="s">
        <v>17</v>
      </c>
      <c r="AA48" s="81" t="s">
        <v>17</v>
      </c>
      <c r="AB48" s="81" t="s">
        <v>17</v>
      </c>
      <c r="AC48" s="81" t="s">
        <v>17</v>
      </c>
      <c r="AD48" s="81" t="s">
        <v>17</v>
      </c>
      <c r="AE48" s="81" t="s">
        <v>17</v>
      </c>
      <c r="AF48" s="81" t="s">
        <v>17</v>
      </c>
      <c r="AG48" s="81" t="s">
        <v>17</v>
      </c>
      <c r="AH48" s="81" t="s">
        <v>17</v>
      </c>
      <c r="AI48" s="81" t="s">
        <v>17</v>
      </c>
      <c r="AJ48" s="81" t="s">
        <v>17</v>
      </c>
      <c r="AK48" s="81" t="s">
        <v>17</v>
      </c>
      <c r="AL48" s="81" t="s">
        <v>17</v>
      </c>
      <c r="AM48" s="81" t="s">
        <v>17</v>
      </c>
      <c r="AN48" s="81" t="s">
        <v>17</v>
      </c>
      <c r="AO48" s="81" t="s">
        <v>17</v>
      </c>
      <c r="AP48" s="81" t="s">
        <v>17</v>
      </c>
      <c r="AQ48" s="81" t="s">
        <v>17</v>
      </c>
      <c r="AR48" s="81" t="s">
        <v>17</v>
      </c>
      <c r="AS48" s="81" t="s">
        <v>17</v>
      </c>
      <c r="AT48" s="81" t="s">
        <v>17</v>
      </c>
      <c r="AU48" s="81" t="s">
        <v>17</v>
      </c>
      <c r="AV48" s="81" t="s">
        <v>17</v>
      </c>
      <c r="AW48" s="81" t="s">
        <v>17</v>
      </c>
      <c r="AX48" s="81" t="s">
        <v>17</v>
      </c>
      <c r="AY48" s="81" t="s">
        <v>17</v>
      </c>
      <c r="AZ48" s="81" t="s">
        <v>17</v>
      </c>
      <c r="BA48" s="49"/>
    </row>
    <row r="49" spans="2:53" s="50" customFormat="1" ht="18" hidden="1" customHeight="1">
      <c r="B49" s="85" t="str">
        <f>IF('[1]370 Community Land Assets in or'!B51="","",'[1]370 Community Land Assets in or'!B51)</f>
        <v/>
      </c>
      <c r="C49" s="85" t="str">
        <f>IF('[1]370 Community Land Assets in or'!C52="","",'[1]370 Community Land Assets in or'!C52)</f>
        <v/>
      </c>
      <c r="D49" s="47" t="str">
        <f t="shared" si="2"/>
        <v/>
      </c>
      <c r="E49" s="81" t="str">
        <f>IF('[1]370 Community Land Assets in or'!D52="","",'[1]370 Community Land Assets in or'!D52)</f>
        <v/>
      </c>
      <c r="F49" s="81" t="str">
        <f>IF('[1]370 Community Land Assets in or'!E52="","",'[1]370 Community Land Assets in or'!E52)</f>
        <v/>
      </c>
      <c r="G49" s="81" t="str">
        <f>IF('[1]370 Community Land Assets in or'!F52="","",'[1]370 Community Land Assets in or'!F52)</f>
        <v/>
      </c>
      <c r="H49" s="81" t="str">
        <f>IF('[1]370 Community Land Assets in or'!G52="","",'[1]370 Community Land Assets in or'!G52)</f>
        <v/>
      </c>
      <c r="I49" s="81" t="s">
        <v>17</v>
      </c>
      <c r="J49" s="81" t="s">
        <v>17</v>
      </c>
      <c r="K49" s="81" t="s">
        <v>17</v>
      </c>
      <c r="L49" s="81" t="s">
        <v>17</v>
      </c>
      <c r="M49" s="81" t="s">
        <v>17</v>
      </c>
      <c r="N49" s="81" t="s">
        <v>17</v>
      </c>
      <c r="O49" s="81" t="s">
        <v>17</v>
      </c>
      <c r="P49" s="81" t="s">
        <v>17</v>
      </c>
      <c r="Q49" s="81" t="s">
        <v>17</v>
      </c>
      <c r="R49" s="81" t="s">
        <v>17</v>
      </c>
      <c r="S49" s="81" t="s">
        <v>17</v>
      </c>
      <c r="T49" s="81" t="s">
        <v>17</v>
      </c>
      <c r="U49" s="81" t="s">
        <v>17</v>
      </c>
      <c r="V49" s="81" t="s">
        <v>17</v>
      </c>
      <c r="W49" s="81" t="s">
        <v>17</v>
      </c>
      <c r="X49" s="81" t="s">
        <v>17</v>
      </c>
      <c r="Y49" s="81" t="s">
        <v>17</v>
      </c>
      <c r="Z49" s="81" t="s">
        <v>17</v>
      </c>
      <c r="AA49" s="81" t="s">
        <v>17</v>
      </c>
      <c r="AB49" s="81" t="s">
        <v>17</v>
      </c>
      <c r="AC49" s="81" t="s">
        <v>17</v>
      </c>
      <c r="AD49" s="81" t="s">
        <v>17</v>
      </c>
      <c r="AE49" s="81" t="s">
        <v>17</v>
      </c>
      <c r="AF49" s="81" t="s">
        <v>17</v>
      </c>
      <c r="AG49" s="81" t="s">
        <v>17</v>
      </c>
      <c r="AH49" s="81" t="s">
        <v>17</v>
      </c>
      <c r="AI49" s="81" t="s">
        <v>17</v>
      </c>
      <c r="AJ49" s="81" t="s">
        <v>17</v>
      </c>
      <c r="AK49" s="81" t="s">
        <v>17</v>
      </c>
      <c r="AL49" s="81" t="s">
        <v>17</v>
      </c>
      <c r="AM49" s="81" t="s">
        <v>17</v>
      </c>
      <c r="AN49" s="81" t="s">
        <v>17</v>
      </c>
      <c r="AO49" s="81" t="s">
        <v>17</v>
      </c>
      <c r="AP49" s="81" t="s">
        <v>17</v>
      </c>
      <c r="AQ49" s="81" t="s">
        <v>17</v>
      </c>
      <c r="AR49" s="81" t="s">
        <v>17</v>
      </c>
      <c r="AS49" s="81" t="s">
        <v>17</v>
      </c>
      <c r="AT49" s="81" t="s">
        <v>17</v>
      </c>
      <c r="AU49" s="81" t="s">
        <v>17</v>
      </c>
      <c r="AV49" s="81" t="s">
        <v>17</v>
      </c>
      <c r="AW49" s="81" t="s">
        <v>17</v>
      </c>
      <c r="AX49" s="81" t="s">
        <v>17</v>
      </c>
      <c r="AY49" s="81" t="s">
        <v>17</v>
      </c>
      <c r="AZ49" s="81" t="s">
        <v>17</v>
      </c>
      <c r="BA49" s="49"/>
    </row>
    <row r="50" spans="2:53" s="50" customFormat="1" ht="18" hidden="1" customHeight="1">
      <c r="B50" s="85" t="str">
        <f>IF('[1]370 Community Land Assets in or'!B52="","",'[1]370 Community Land Assets in or'!B52)</f>
        <v/>
      </c>
      <c r="C50" s="85" t="str">
        <f>IF('[1]370 Community Land Assets in or'!C53="","",'[1]370 Community Land Assets in or'!C53)</f>
        <v/>
      </c>
      <c r="D50" s="47" t="str">
        <f t="shared" si="2"/>
        <v/>
      </c>
      <c r="E50" s="81" t="str">
        <f>IF('[1]370 Community Land Assets in or'!D53="","",'[1]370 Community Land Assets in or'!D53)</f>
        <v/>
      </c>
      <c r="F50" s="81" t="str">
        <f>IF('[1]370 Community Land Assets in or'!E53="","",'[1]370 Community Land Assets in or'!E53)</f>
        <v/>
      </c>
      <c r="G50" s="81" t="str">
        <f>IF('[1]370 Community Land Assets in or'!F53="","",'[1]370 Community Land Assets in or'!F53)</f>
        <v/>
      </c>
      <c r="H50" s="81" t="str">
        <f>IF('[1]370 Community Land Assets in or'!G53="","",'[1]370 Community Land Assets in or'!G53)</f>
        <v/>
      </c>
      <c r="I50" s="81" t="s">
        <v>17</v>
      </c>
      <c r="J50" s="81" t="s">
        <v>17</v>
      </c>
      <c r="K50" s="81" t="s">
        <v>17</v>
      </c>
      <c r="L50" s="81" t="s">
        <v>17</v>
      </c>
      <c r="M50" s="81" t="s">
        <v>17</v>
      </c>
      <c r="N50" s="81" t="s">
        <v>17</v>
      </c>
      <c r="O50" s="81" t="s">
        <v>17</v>
      </c>
      <c r="P50" s="81" t="s">
        <v>17</v>
      </c>
      <c r="Q50" s="81" t="s">
        <v>17</v>
      </c>
      <c r="R50" s="81" t="s">
        <v>17</v>
      </c>
      <c r="S50" s="81" t="s">
        <v>17</v>
      </c>
      <c r="T50" s="81" t="s">
        <v>17</v>
      </c>
      <c r="U50" s="81" t="s">
        <v>17</v>
      </c>
      <c r="V50" s="81" t="s">
        <v>17</v>
      </c>
      <c r="W50" s="81" t="s">
        <v>17</v>
      </c>
      <c r="X50" s="81" t="s">
        <v>17</v>
      </c>
      <c r="Y50" s="81" t="s">
        <v>17</v>
      </c>
      <c r="Z50" s="81" t="s">
        <v>17</v>
      </c>
      <c r="AA50" s="81" t="s">
        <v>17</v>
      </c>
      <c r="AB50" s="81" t="s">
        <v>17</v>
      </c>
      <c r="AC50" s="81" t="s">
        <v>17</v>
      </c>
      <c r="AD50" s="81" t="s">
        <v>17</v>
      </c>
      <c r="AE50" s="81" t="s">
        <v>17</v>
      </c>
      <c r="AF50" s="81" t="s">
        <v>17</v>
      </c>
      <c r="AG50" s="81" t="s">
        <v>17</v>
      </c>
      <c r="AH50" s="81" t="s">
        <v>17</v>
      </c>
      <c r="AI50" s="81" t="s">
        <v>17</v>
      </c>
      <c r="AJ50" s="81" t="s">
        <v>17</v>
      </c>
      <c r="AK50" s="81" t="s">
        <v>17</v>
      </c>
      <c r="AL50" s="81" t="s">
        <v>17</v>
      </c>
      <c r="AM50" s="81" t="s">
        <v>17</v>
      </c>
      <c r="AN50" s="81" t="s">
        <v>17</v>
      </c>
      <c r="AO50" s="81" t="s">
        <v>17</v>
      </c>
      <c r="AP50" s="81" t="s">
        <v>17</v>
      </c>
      <c r="AQ50" s="81" t="s">
        <v>17</v>
      </c>
      <c r="AR50" s="81" t="s">
        <v>17</v>
      </c>
      <c r="AS50" s="81" t="s">
        <v>17</v>
      </c>
      <c r="AT50" s="81" t="s">
        <v>17</v>
      </c>
      <c r="AU50" s="81" t="s">
        <v>17</v>
      </c>
      <c r="AV50" s="81" t="s">
        <v>17</v>
      </c>
      <c r="AW50" s="81" t="s">
        <v>17</v>
      </c>
      <c r="AX50" s="81" t="s">
        <v>17</v>
      </c>
      <c r="AY50" s="81" t="s">
        <v>17</v>
      </c>
      <c r="AZ50" s="81" t="s">
        <v>17</v>
      </c>
      <c r="BA50" s="49"/>
    </row>
    <row r="51" spans="2:53" s="50" customFormat="1" ht="18" hidden="1" customHeight="1">
      <c r="B51" s="85" t="str">
        <f>IF('[1]370 Community Land Assets in or'!B53="","",'[1]370 Community Land Assets in or'!B53)</f>
        <v/>
      </c>
      <c r="C51" s="85" t="str">
        <f>IF('[1]370 Community Land Assets in or'!C54="","",'[1]370 Community Land Assets in or'!C54)</f>
        <v/>
      </c>
      <c r="D51" s="47" t="str">
        <f t="shared" si="2"/>
        <v/>
      </c>
      <c r="E51" s="81" t="str">
        <f>IF('[1]370 Community Land Assets in or'!D54="","",'[1]370 Community Land Assets in or'!D54)</f>
        <v/>
      </c>
      <c r="F51" s="81" t="str">
        <f>IF('[1]370 Community Land Assets in or'!E54="","",'[1]370 Community Land Assets in or'!E54)</f>
        <v/>
      </c>
      <c r="G51" s="81" t="str">
        <f>IF('[1]370 Community Land Assets in or'!F54="","",'[1]370 Community Land Assets in or'!F54)</f>
        <v/>
      </c>
      <c r="H51" s="81" t="str">
        <f>IF('[1]370 Community Land Assets in or'!G54="","",'[1]370 Community Land Assets in or'!G54)</f>
        <v/>
      </c>
      <c r="I51" s="81" t="s">
        <v>17</v>
      </c>
      <c r="J51" s="81" t="s">
        <v>17</v>
      </c>
      <c r="K51" s="81" t="s">
        <v>17</v>
      </c>
      <c r="L51" s="81" t="s">
        <v>17</v>
      </c>
      <c r="M51" s="81" t="s">
        <v>17</v>
      </c>
      <c r="N51" s="81" t="s">
        <v>17</v>
      </c>
      <c r="O51" s="81" t="s">
        <v>17</v>
      </c>
      <c r="P51" s="81" t="s">
        <v>17</v>
      </c>
      <c r="Q51" s="81" t="s">
        <v>17</v>
      </c>
      <c r="R51" s="81" t="s">
        <v>17</v>
      </c>
      <c r="S51" s="81" t="s">
        <v>17</v>
      </c>
      <c r="T51" s="81" t="s">
        <v>17</v>
      </c>
      <c r="U51" s="81" t="s">
        <v>17</v>
      </c>
      <c r="V51" s="81" t="s">
        <v>17</v>
      </c>
      <c r="W51" s="81" t="s">
        <v>17</v>
      </c>
      <c r="X51" s="81" t="s">
        <v>17</v>
      </c>
      <c r="Y51" s="81" t="s">
        <v>17</v>
      </c>
      <c r="Z51" s="81" t="s">
        <v>17</v>
      </c>
      <c r="AA51" s="81" t="s">
        <v>17</v>
      </c>
      <c r="AB51" s="81" t="s">
        <v>17</v>
      </c>
      <c r="AC51" s="81" t="s">
        <v>17</v>
      </c>
      <c r="AD51" s="81" t="s">
        <v>17</v>
      </c>
      <c r="AE51" s="81" t="s">
        <v>17</v>
      </c>
      <c r="AF51" s="81" t="s">
        <v>17</v>
      </c>
      <c r="AG51" s="81" t="s">
        <v>17</v>
      </c>
      <c r="AH51" s="81" t="s">
        <v>17</v>
      </c>
      <c r="AI51" s="81" t="s">
        <v>17</v>
      </c>
      <c r="AJ51" s="81" t="s">
        <v>17</v>
      </c>
      <c r="AK51" s="81" t="s">
        <v>17</v>
      </c>
      <c r="AL51" s="81" t="s">
        <v>17</v>
      </c>
      <c r="AM51" s="81" t="s">
        <v>17</v>
      </c>
      <c r="AN51" s="81" t="s">
        <v>17</v>
      </c>
      <c r="AO51" s="81" t="s">
        <v>17</v>
      </c>
      <c r="AP51" s="81" t="s">
        <v>17</v>
      </c>
      <c r="AQ51" s="81" t="s">
        <v>17</v>
      </c>
      <c r="AR51" s="81" t="s">
        <v>17</v>
      </c>
      <c r="AS51" s="81" t="s">
        <v>17</v>
      </c>
      <c r="AT51" s="81" t="s">
        <v>17</v>
      </c>
      <c r="AU51" s="81" t="s">
        <v>17</v>
      </c>
      <c r="AV51" s="81" t="s">
        <v>17</v>
      </c>
      <c r="AW51" s="81" t="s">
        <v>17</v>
      </c>
      <c r="AX51" s="81" t="s">
        <v>17</v>
      </c>
      <c r="AY51" s="81" t="s">
        <v>17</v>
      </c>
      <c r="AZ51" s="81" t="s">
        <v>17</v>
      </c>
      <c r="BA51" s="49"/>
    </row>
    <row r="52" spans="2:53" s="50" customFormat="1" ht="18" hidden="1" customHeight="1">
      <c r="B52" s="85" t="str">
        <f>IF('[1]370 Community Land Assets in or'!B54="","",'[1]370 Community Land Assets in or'!B54)</f>
        <v/>
      </c>
      <c r="C52" s="85" t="str">
        <f>IF('[1]370 Community Land Assets in or'!C55="","",'[1]370 Community Land Assets in or'!C55)</f>
        <v/>
      </c>
      <c r="D52" s="47" t="str">
        <f t="shared" si="2"/>
        <v/>
      </c>
      <c r="E52" s="81" t="str">
        <f>IF('[1]370 Community Land Assets in or'!D55="","",'[1]370 Community Land Assets in or'!D55)</f>
        <v/>
      </c>
      <c r="F52" s="81" t="str">
        <f>IF('[1]370 Community Land Assets in or'!E55="","",'[1]370 Community Land Assets in or'!E55)</f>
        <v/>
      </c>
      <c r="G52" s="81" t="str">
        <f>IF('[1]370 Community Land Assets in or'!F55="","",'[1]370 Community Land Assets in or'!F55)</f>
        <v/>
      </c>
      <c r="H52" s="81" t="str">
        <f>IF('[1]370 Community Land Assets in or'!G55="","",'[1]370 Community Land Assets in or'!G55)</f>
        <v/>
      </c>
      <c r="I52" s="81" t="s">
        <v>17</v>
      </c>
      <c r="J52" s="81" t="s">
        <v>17</v>
      </c>
      <c r="K52" s="81" t="s">
        <v>17</v>
      </c>
      <c r="L52" s="81" t="s">
        <v>17</v>
      </c>
      <c r="M52" s="81" t="s">
        <v>17</v>
      </c>
      <c r="N52" s="81" t="s">
        <v>17</v>
      </c>
      <c r="O52" s="81" t="s">
        <v>17</v>
      </c>
      <c r="P52" s="81" t="s">
        <v>17</v>
      </c>
      <c r="Q52" s="81" t="s">
        <v>17</v>
      </c>
      <c r="R52" s="81" t="s">
        <v>17</v>
      </c>
      <c r="S52" s="81" t="s">
        <v>17</v>
      </c>
      <c r="T52" s="81" t="s">
        <v>17</v>
      </c>
      <c r="U52" s="81" t="s">
        <v>17</v>
      </c>
      <c r="V52" s="81" t="s">
        <v>17</v>
      </c>
      <c r="W52" s="81" t="s">
        <v>17</v>
      </c>
      <c r="X52" s="81" t="s">
        <v>17</v>
      </c>
      <c r="Y52" s="81" t="s">
        <v>17</v>
      </c>
      <c r="Z52" s="81" t="s">
        <v>17</v>
      </c>
      <c r="AA52" s="81" t="s">
        <v>17</v>
      </c>
      <c r="AB52" s="81" t="s">
        <v>17</v>
      </c>
      <c r="AC52" s="81" t="s">
        <v>17</v>
      </c>
      <c r="AD52" s="81" t="s">
        <v>17</v>
      </c>
      <c r="AE52" s="81" t="s">
        <v>17</v>
      </c>
      <c r="AF52" s="81" t="s">
        <v>17</v>
      </c>
      <c r="AG52" s="81" t="s">
        <v>17</v>
      </c>
      <c r="AH52" s="81" t="s">
        <v>17</v>
      </c>
      <c r="AI52" s="81" t="s">
        <v>17</v>
      </c>
      <c r="AJ52" s="81" t="s">
        <v>17</v>
      </c>
      <c r="AK52" s="81" t="s">
        <v>17</v>
      </c>
      <c r="AL52" s="81" t="s">
        <v>17</v>
      </c>
      <c r="AM52" s="81" t="s">
        <v>17</v>
      </c>
      <c r="AN52" s="81" t="s">
        <v>17</v>
      </c>
      <c r="AO52" s="81" t="s">
        <v>17</v>
      </c>
      <c r="AP52" s="81" t="s">
        <v>17</v>
      </c>
      <c r="AQ52" s="81" t="s">
        <v>17</v>
      </c>
      <c r="AR52" s="81" t="s">
        <v>17</v>
      </c>
      <c r="AS52" s="81" t="s">
        <v>17</v>
      </c>
      <c r="AT52" s="81" t="s">
        <v>17</v>
      </c>
      <c r="AU52" s="81" t="s">
        <v>17</v>
      </c>
      <c r="AV52" s="81" t="s">
        <v>17</v>
      </c>
      <c r="AW52" s="81" t="s">
        <v>17</v>
      </c>
      <c r="AX52" s="81" t="s">
        <v>17</v>
      </c>
      <c r="AY52" s="81" t="s">
        <v>17</v>
      </c>
      <c r="AZ52" s="81" t="s">
        <v>17</v>
      </c>
      <c r="BA52" s="49"/>
    </row>
    <row r="53" spans="2:53" s="50" customFormat="1" ht="18" hidden="1" customHeight="1">
      <c r="B53" s="85" t="str">
        <f>IF('[1]370 Community Land Assets in or'!B55="","",'[1]370 Community Land Assets in or'!B55)</f>
        <v/>
      </c>
      <c r="C53" s="85" t="str">
        <f>IF('[1]370 Community Land Assets in or'!C56="","",'[1]370 Community Land Assets in or'!C56)</f>
        <v/>
      </c>
      <c r="D53" s="47" t="str">
        <f t="shared" si="2"/>
        <v/>
      </c>
      <c r="E53" s="81" t="str">
        <f>IF('[1]370 Community Land Assets in or'!D56="","",'[1]370 Community Land Assets in or'!D56)</f>
        <v/>
      </c>
      <c r="F53" s="81" t="str">
        <f>IF('[1]370 Community Land Assets in or'!E56="","",'[1]370 Community Land Assets in or'!E56)</f>
        <v/>
      </c>
      <c r="G53" s="81" t="str">
        <f>IF('[1]370 Community Land Assets in or'!F56="","",'[1]370 Community Land Assets in or'!F56)</f>
        <v/>
      </c>
      <c r="H53" s="81" t="str">
        <f>IF('[1]370 Community Land Assets in or'!G56="","",'[1]370 Community Land Assets in or'!G56)</f>
        <v/>
      </c>
      <c r="I53" s="81" t="s">
        <v>17</v>
      </c>
      <c r="J53" s="81" t="s">
        <v>17</v>
      </c>
      <c r="K53" s="81" t="s">
        <v>17</v>
      </c>
      <c r="L53" s="81" t="s">
        <v>17</v>
      </c>
      <c r="M53" s="81" t="s">
        <v>17</v>
      </c>
      <c r="N53" s="81" t="s">
        <v>17</v>
      </c>
      <c r="O53" s="81" t="s">
        <v>17</v>
      </c>
      <c r="P53" s="81" t="s">
        <v>17</v>
      </c>
      <c r="Q53" s="81" t="s">
        <v>17</v>
      </c>
      <c r="R53" s="81" t="s">
        <v>17</v>
      </c>
      <c r="S53" s="81" t="s">
        <v>17</v>
      </c>
      <c r="T53" s="81" t="s">
        <v>17</v>
      </c>
      <c r="U53" s="81" t="s">
        <v>17</v>
      </c>
      <c r="V53" s="81" t="s">
        <v>17</v>
      </c>
      <c r="W53" s="81" t="s">
        <v>17</v>
      </c>
      <c r="X53" s="81" t="s">
        <v>17</v>
      </c>
      <c r="Y53" s="81" t="s">
        <v>17</v>
      </c>
      <c r="Z53" s="81" t="s">
        <v>17</v>
      </c>
      <c r="AA53" s="81" t="s">
        <v>17</v>
      </c>
      <c r="AB53" s="81" t="s">
        <v>17</v>
      </c>
      <c r="AC53" s="81" t="s">
        <v>17</v>
      </c>
      <c r="AD53" s="81" t="s">
        <v>17</v>
      </c>
      <c r="AE53" s="81" t="s">
        <v>17</v>
      </c>
      <c r="AF53" s="81" t="s">
        <v>17</v>
      </c>
      <c r="AG53" s="81" t="s">
        <v>17</v>
      </c>
      <c r="AH53" s="81" t="s">
        <v>17</v>
      </c>
      <c r="AI53" s="81" t="s">
        <v>17</v>
      </c>
      <c r="AJ53" s="81" t="s">
        <v>17</v>
      </c>
      <c r="AK53" s="81" t="s">
        <v>17</v>
      </c>
      <c r="AL53" s="81" t="s">
        <v>17</v>
      </c>
      <c r="AM53" s="81" t="s">
        <v>17</v>
      </c>
      <c r="AN53" s="81" t="s">
        <v>17</v>
      </c>
      <c r="AO53" s="81" t="s">
        <v>17</v>
      </c>
      <c r="AP53" s="81" t="s">
        <v>17</v>
      </c>
      <c r="AQ53" s="81" t="s">
        <v>17</v>
      </c>
      <c r="AR53" s="81" t="s">
        <v>17</v>
      </c>
      <c r="AS53" s="81" t="s">
        <v>17</v>
      </c>
      <c r="AT53" s="81" t="s">
        <v>17</v>
      </c>
      <c r="AU53" s="81" t="s">
        <v>17</v>
      </c>
      <c r="AV53" s="81" t="s">
        <v>17</v>
      </c>
      <c r="AW53" s="81" t="s">
        <v>17</v>
      </c>
      <c r="AX53" s="81" t="s">
        <v>17</v>
      </c>
      <c r="AY53" s="81" t="s">
        <v>17</v>
      </c>
      <c r="AZ53" s="81" t="s">
        <v>17</v>
      </c>
      <c r="BA53" s="49"/>
    </row>
    <row r="54" spans="2:53" s="50" customFormat="1" ht="18" hidden="1" customHeight="1">
      <c r="B54" s="85" t="str">
        <f>IF('[1]370 Community Land Assets in or'!B56="","",'[1]370 Community Land Assets in or'!B56)</f>
        <v/>
      </c>
      <c r="C54" s="85" t="str">
        <f>IF('[1]370 Community Land Assets in or'!C57="","",'[1]370 Community Land Assets in or'!C57)</f>
        <v/>
      </c>
      <c r="D54" s="47" t="str">
        <f t="shared" si="2"/>
        <v/>
      </c>
      <c r="E54" s="81" t="str">
        <f>IF('[1]370 Community Land Assets in or'!D57="","",'[1]370 Community Land Assets in or'!D57)</f>
        <v/>
      </c>
      <c r="F54" s="81" t="str">
        <f>IF('[1]370 Community Land Assets in or'!E57="","",'[1]370 Community Land Assets in or'!E57)</f>
        <v/>
      </c>
      <c r="G54" s="81" t="str">
        <f>IF('[1]370 Community Land Assets in or'!F57="","",'[1]370 Community Land Assets in or'!F57)</f>
        <v/>
      </c>
      <c r="H54" s="81" t="str">
        <f>IF('[1]370 Community Land Assets in or'!G57="","",'[1]370 Community Land Assets in or'!G57)</f>
        <v/>
      </c>
      <c r="I54" s="81" t="s">
        <v>17</v>
      </c>
      <c r="J54" s="81" t="s">
        <v>17</v>
      </c>
      <c r="K54" s="81" t="s">
        <v>17</v>
      </c>
      <c r="L54" s="81" t="s">
        <v>17</v>
      </c>
      <c r="M54" s="81" t="s">
        <v>17</v>
      </c>
      <c r="N54" s="81" t="s">
        <v>17</v>
      </c>
      <c r="O54" s="81" t="s">
        <v>17</v>
      </c>
      <c r="P54" s="81" t="s">
        <v>17</v>
      </c>
      <c r="Q54" s="81" t="s">
        <v>17</v>
      </c>
      <c r="R54" s="81" t="s">
        <v>17</v>
      </c>
      <c r="S54" s="81" t="s">
        <v>17</v>
      </c>
      <c r="T54" s="81" t="s">
        <v>17</v>
      </c>
      <c r="U54" s="81" t="s">
        <v>17</v>
      </c>
      <c r="V54" s="81" t="s">
        <v>17</v>
      </c>
      <c r="W54" s="81" t="s">
        <v>17</v>
      </c>
      <c r="X54" s="81" t="s">
        <v>17</v>
      </c>
      <c r="Y54" s="81" t="s">
        <v>17</v>
      </c>
      <c r="Z54" s="81" t="s">
        <v>17</v>
      </c>
      <c r="AA54" s="81" t="s">
        <v>17</v>
      </c>
      <c r="AB54" s="81" t="s">
        <v>17</v>
      </c>
      <c r="AC54" s="81" t="s">
        <v>17</v>
      </c>
      <c r="AD54" s="81" t="s">
        <v>17</v>
      </c>
      <c r="AE54" s="81" t="s">
        <v>17</v>
      </c>
      <c r="AF54" s="81" t="s">
        <v>17</v>
      </c>
      <c r="AG54" s="81" t="s">
        <v>17</v>
      </c>
      <c r="AH54" s="81" t="s">
        <v>17</v>
      </c>
      <c r="AI54" s="81" t="s">
        <v>17</v>
      </c>
      <c r="AJ54" s="81" t="s">
        <v>17</v>
      </c>
      <c r="AK54" s="81" t="s">
        <v>17</v>
      </c>
      <c r="AL54" s="81" t="s">
        <v>17</v>
      </c>
      <c r="AM54" s="81" t="s">
        <v>17</v>
      </c>
      <c r="AN54" s="81" t="s">
        <v>17</v>
      </c>
      <c r="AO54" s="81" t="s">
        <v>17</v>
      </c>
      <c r="AP54" s="81" t="s">
        <v>17</v>
      </c>
      <c r="AQ54" s="81" t="s">
        <v>17</v>
      </c>
      <c r="AR54" s="81" t="s">
        <v>17</v>
      </c>
      <c r="AS54" s="81" t="s">
        <v>17</v>
      </c>
      <c r="AT54" s="81" t="s">
        <v>17</v>
      </c>
      <c r="AU54" s="81" t="s">
        <v>17</v>
      </c>
      <c r="AV54" s="81" t="s">
        <v>17</v>
      </c>
      <c r="AW54" s="81" t="s">
        <v>17</v>
      </c>
      <c r="AX54" s="81" t="s">
        <v>17</v>
      </c>
      <c r="AY54" s="81" t="s">
        <v>17</v>
      </c>
      <c r="AZ54" s="81" t="s">
        <v>17</v>
      </c>
      <c r="BA54" s="49"/>
    </row>
    <row r="55" spans="2:53" s="50" customFormat="1" ht="18" hidden="1" customHeight="1">
      <c r="B55" s="85" t="str">
        <f>IF('[1]370 Community Land Assets in or'!B57="","",'[1]370 Community Land Assets in or'!B57)</f>
        <v/>
      </c>
      <c r="C55" s="85" t="str">
        <f>IF('[1]370 Community Land Assets in or'!C58="","",'[1]370 Community Land Assets in or'!C58)</f>
        <v/>
      </c>
      <c r="D55" s="47" t="str">
        <f t="shared" si="2"/>
        <v/>
      </c>
      <c r="E55" s="81" t="str">
        <f>IF('[1]370 Community Land Assets in or'!D58="","",'[1]370 Community Land Assets in or'!D58)</f>
        <v/>
      </c>
      <c r="F55" s="81" t="str">
        <f>IF('[1]370 Community Land Assets in or'!E58="","",'[1]370 Community Land Assets in or'!E58)</f>
        <v/>
      </c>
      <c r="G55" s="81" t="str">
        <f>IF('[1]370 Community Land Assets in or'!F58="","",'[1]370 Community Land Assets in or'!F58)</f>
        <v/>
      </c>
      <c r="H55" s="81" t="str">
        <f>IF('[1]370 Community Land Assets in or'!G58="","",'[1]370 Community Land Assets in or'!G58)</f>
        <v/>
      </c>
      <c r="I55" s="81" t="s">
        <v>17</v>
      </c>
      <c r="J55" s="81" t="s">
        <v>17</v>
      </c>
      <c r="K55" s="81" t="s">
        <v>17</v>
      </c>
      <c r="L55" s="81" t="s">
        <v>17</v>
      </c>
      <c r="M55" s="81" t="s">
        <v>17</v>
      </c>
      <c r="N55" s="81" t="s">
        <v>17</v>
      </c>
      <c r="O55" s="81" t="s">
        <v>17</v>
      </c>
      <c r="P55" s="81" t="s">
        <v>17</v>
      </c>
      <c r="Q55" s="81" t="s">
        <v>17</v>
      </c>
      <c r="R55" s="81" t="s">
        <v>17</v>
      </c>
      <c r="S55" s="81" t="s">
        <v>17</v>
      </c>
      <c r="T55" s="81" t="s">
        <v>17</v>
      </c>
      <c r="U55" s="81" t="s">
        <v>17</v>
      </c>
      <c r="V55" s="81" t="s">
        <v>17</v>
      </c>
      <c r="W55" s="81" t="s">
        <v>17</v>
      </c>
      <c r="X55" s="81" t="s">
        <v>17</v>
      </c>
      <c r="Y55" s="81" t="s">
        <v>17</v>
      </c>
      <c r="Z55" s="81" t="s">
        <v>17</v>
      </c>
      <c r="AA55" s="81" t="s">
        <v>17</v>
      </c>
      <c r="AB55" s="81" t="s">
        <v>17</v>
      </c>
      <c r="AC55" s="81" t="s">
        <v>17</v>
      </c>
      <c r="AD55" s="81" t="s">
        <v>17</v>
      </c>
      <c r="AE55" s="81" t="s">
        <v>17</v>
      </c>
      <c r="AF55" s="81" t="s">
        <v>17</v>
      </c>
      <c r="AG55" s="81" t="s">
        <v>17</v>
      </c>
      <c r="AH55" s="81" t="s">
        <v>17</v>
      </c>
      <c r="AI55" s="81" t="s">
        <v>17</v>
      </c>
      <c r="AJ55" s="81" t="s">
        <v>17</v>
      </c>
      <c r="AK55" s="81" t="s">
        <v>17</v>
      </c>
      <c r="AL55" s="81" t="s">
        <v>17</v>
      </c>
      <c r="AM55" s="81" t="s">
        <v>17</v>
      </c>
      <c r="AN55" s="81" t="s">
        <v>17</v>
      </c>
      <c r="AO55" s="81" t="s">
        <v>17</v>
      </c>
      <c r="AP55" s="81" t="s">
        <v>17</v>
      </c>
      <c r="AQ55" s="81" t="s">
        <v>17</v>
      </c>
      <c r="AR55" s="81" t="s">
        <v>17</v>
      </c>
      <c r="AS55" s="81" t="s">
        <v>17</v>
      </c>
      <c r="AT55" s="81" t="s">
        <v>17</v>
      </c>
      <c r="AU55" s="81" t="s">
        <v>17</v>
      </c>
      <c r="AV55" s="81" t="s">
        <v>17</v>
      </c>
      <c r="AW55" s="81" t="s">
        <v>17</v>
      </c>
      <c r="AX55" s="81" t="s">
        <v>17</v>
      </c>
      <c r="AY55" s="81" t="s">
        <v>17</v>
      </c>
      <c r="AZ55" s="81" t="s">
        <v>17</v>
      </c>
      <c r="BA55" s="49"/>
    </row>
    <row r="56" spans="2:53" s="50" customFormat="1" ht="18" hidden="1" customHeight="1">
      <c r="B56" s="85" t="str">
        <f>IF('[1]370 Community Land Assets in or'!B58="","",'[1]370 Community Land Assets in or'!B58)</f>
        <v/>
      </c>
      <c r="C56" s="85" t="str">
        <f>IF('[1]370 Community Land Assets in or'!C59="","",'[1]370 Community Land Assets in or'!C59)</f>
        <v/>
      </c>
      <c r="D56" s="47" t="str">
        <f t="shared" si="2"/>
        <v/>
      </c>
      <c r="E56" s="81" t="str">
        <f>IF('[1]370 Community Land Assets in or'!D59="","",'[1]370 Community Land Assets in or'!D59)</f>
        <v/>
      </c>
      <c r="F56" s="81" t="str">
        <f>IF('[1]370 Community Land Assets in or'!E59="","",'[1]370 Community Land Assets in or'!E59)</f>
        <v/>
      </c>
      <c r="G56" s="81" t="str">
        <f>IF('[1]370 Community Land Assets in or'!F59="","",'[1]370 Community Land Assets in or'!F59)</f>
        <v/>
      </c>
      <c r="H56" s="81" t="str">
        <f>IF('[1]370 Community Land Assets in or'!G59="","",'[1]370 Community Land Assets in or'!G59)</f>
        <v/>
      </c>
      <c r="I56" s="81" t="s">
        <v>17</v>
      </c>
      <c r="J56" s="81" t="s">
        <v>17</v>
      </c>
      <c r="K56" s="81" t="s">
        <v>17</v>
      </c>
      <c r="L56" s="81" t="s">
        <v>17</v>
      </c>
      <c r="M56" s="81" t="s">
        <v>17</v>
      </c>
      <c r="N56" s="81" t="s">
        <v>17</v>
      </c>
      <c r="O56" s="81" t="s">
        <v>17</v>
      </c>
      <c r="P56" s="81" t="s">
        <v>17</v>
      </c>
      <c r="Q56" s="81" t="s">
        <v>17</v>
      </c>
      <c r="R56" s="81" t="s">
        <v>17</v>
      </c>
      <c r="S56" s="81" t="s">
        <v>17</v>
      </c>
      <c r="T56" s="81" t="s">
        <v>17</v>
      </c>
      <c r="U56" s="81" t="s">
        <v>17</v>
      </c>
      <c r="V56" s="81" t="s">
        <v>17</v>
      </c>
      <c r="W56" s="81" t="s">
        <v>17</v>
      </c>
      <c r="X56" s="81" t="s">
        <v>17</v>
      </c>
      <c r="Y56" s="81" t="s">
        <v>17</v>
      </c>
      <c r="Z56" s="81" t="s">
        <v>17</v>
      </c>
      <c r="AA56" s="81" t="s">
        <v>17</v>
      </c>
      <c r="AB56" s="81" t="s">
        <v>17</v>
      </c>
      <c r="AC56" s="81" t="s">
        <v>17</v>
      </c>
      <c r="AD56" s="81" t="s">
        <v>17</v>
      </c>
      <c r="AE56" s="81" t="s">
        <v>17</v>
      </c>
      <c r="AF56" s="81" t="s">
        <v>17</v>
      </c>
      <c r="AG56" s="81" t="s">
        <v>17</v>
      </c>
      <c r="AH56" s="81" t="s">
        <v>17</v>
      </c>
      <c r="AI56" s="81" t="s">
        <v>17</v>
      </c>
      <c r="AJ56" s="81" t="s">
        <v>17</v>
      </c>
      <c r="AK56" s="81" t="s">
        <v>17</v>
      </c>
      <c r="AL56" s="81" t="s">
        <v>17</v>
      </c>
      <c r="AM56" s="81" t="s">
        <v>17</v>
      </c>
      <c r="AN56" s="81" t="s">
        <v>17</v>
      </c>
      <c r="AO56" s="81" t="s">
        <v>17</v>
      </c>
      <c r="AP56" s="81" t="s">
        <v>17</v>
      </c>
      <c r="AQ56" s="81" t="s">
        <v>17</v>
      </c>
      <c r="AR56" s="81" t="s">
        <v>17</v>
      </c>
      <c r="AS56" s="81" t="s">
        <v>17</v>
      </c>
      <c r="AT56" s="81" t="s">
        <v>17</v>
      </c>
      <c r="AU56" s="81" t="s">
        <v>17</v>
      </c>
      <c r="AV56" s="81" t="s">
        <v>17</v>
      </c>
      <c r="AW56" s="81" t="s">
        <v>17</v>
      </c>
      <c r="AX56" s="81" t="s">
        <v>17</v>
      </c>
      <c r="AY56" s="81" t="s">
        <v>17</v>
      </c>
      <c r="AZ56" s="81" t="s">
        <v>17</v>
      </c>
      <c r="BA56" s="49"/>
    </row>
    <row r="57" spans="2:53" s="50" customFormat="1" ht="18" hidden="1" customHeight="1">
      <c r="B57" s="85" t="str">
        <f>IF('[1]370 Community Land Assets in or'!B59="","",'[1]370 Community Land Assets in or'!B59)</f>
        <v/>
      </c>
      <c r="C57" s="85" t="str">
        <f>IF('[1]370 Community Land Assets in or'!C60="","",'[1]370 Community Land Assets in or'!C60)</f>
        <v/>
      </c>
      <c r="D57" s="47" t="str">
        <f t="shared" si="2"/>
        <v/>
      </c>
      <c r="E57" s="81" t="str">
        <f>IF('[1]370 Community Land Assets in or'!D60="","",'[1]370 Community Land Assets in or'!D60)</f>
        <v/>
      </c>
      <c r="F57" s="81" t="str">
        <f>IF('[1]370 Community Land Assets in or'!E60="","",'[1]370 Community Land Assets in or'!E60)</f>
        <v/>
      </c>
      <c r="G57" s="81" t="str">
        <f>IF('[1]370 Community Land Assets in or'!F60="","",'[1]370 Community Land Assets in or'!F60)</f>
        <v/>
      </c>
      <c r="H57" s="81" t="str">
        <f>IF('[1]370 Community Land Assets in or'!G60="","",'[1]370 Community Land Assets in or'!G60)</f>
        <v/>
      </c>
      <c r="I57" s="81" t="s">
        <v>17</v>
      </c>
      <c r="J57" s="81" t="s">
        <v>17</v>
      </c>
      <c r="K57" s="81" t="s">
        <v>17</v>
      </c>
      <c r="L57" s="81" t="s">
        <v>17</v>
      </c>
      <c r="M57" s="81" t="s">
        <v>17</v>
      </c>
      <c r="N57" s="81" t="s">
        <v>17</v>
      </c>
      <c r="O57" s="81" t="s">
        <v>17</v>
      </c>
      <c r="P57" s="81" t="s">
        <v>17</v>
      </c>
      <c r="Q57" s="81" t="s">
        <v>17</v>
      </c>
      <c r="R57" s="81" t="s">
        <v>17</v>
      </c>
      <c r="S57" s="81" t="s">
        <v>17</v>
      </c>
      <c r="T57" s="81" t="s">
        <v>17</v>
      </c>
      <c r="U57" s="81" t="s">
        <v>17</v>
      </c>
      <c r="V57" s="81" t="s">
        <v>17</v>
      </c>
      <c r="W57" s="81" t="s">
        <v>17</v>
      </c>
      <c r="X57" s="81" t="s">
        <v>17</v>
      </c>
      <c r="Y57" s="81" t="s">
        <v>17</v>
      </c>
      <c r="Z57" s="81" t="s">
        <v>17</v>
      </c>
      <c r="AA57" s="81" t="s">
        <v>17</v>
      </c>
      <c r="AB57" s="81" t="s">
        <v>17</v>
      </c>
      <c r="AC57" s="81" t="s">
        <v>17</v>
      </c>
      <c r="AD57" s="81" t="s">
        <v>17</v>
      </c>
      <c r="AE57" s="81" t="s">
        <v>17</v>
      </c>
      <c r="AF57" s="81" t="s">
        <v>17</v>
      </c>
      <c r="AG57" s="81" t="s">
        <v>17</v>
      </c>
      <c r="AH57" s="81" t="s">
        <v>17</v>
      </c>
      <c r="AI57" s="81" t="s">
        <v>17</v>
      </c>
      <c r="AJ57" s="81" t="s">
        <v>17</v>
      </c>
      <c r="AK57" s="81" t="s">
        <v>17</v>
      </c>
      <c r="AL57" s="81" t="s">
        <v>17</v>
      </c>
      <c r="AM57" s="81" t="s">
        <v>17</v>
      </c>
      <c r="AN57" s="81" t="s">
        <v>17</v>
      </c>
      <c r="AO57" s="81" t="s">
        <v>17</v>
      </c>
      <c r="AP57" s="81" t="s">
        <v>17</v>
      </c>
      <c r="AQ57" s="81" t="s">
        <v>17</v>
      </c>
      <c r="AR57" s="81" t="s">
        <v>17</v>
      </c>
      <c r="AS57" s="81" t="s">
        <v>17</v>
      </c>
      <c r="AT57" s="81" t="s">
        <v>17</v>
      </c>
      <c r="AU57" s="81" t="s">
        <v>17</v>
      </c>
      <c r="AV57" s="81" t="s">
        <v>17</v>
      </c>
      <c r="AW57" s="81" t="s">
        <v>17</v>
      </c>
      <c r="AX57" s="81" t="s">
        <v>17</v>
      </c>
      <c r="AY57" s="81" t="s">
        <v>17</v>
      </c>
      <c r="AZ57" s="81" t="s">
        <v>17</v>
      </c>
      <c r="BA57" s="49"/>
    </row>
    <row r="58" spans="2:53" s="50" customFormat="1" ht="18" hidden="1" customHeight="1">
      <c r="B58" s="85" t="str">
        <f>IF('[1]370 Community Land Assets in or'!B60="","",'[1]370 Community Land Assets in or'!B60)</f>
        <v/>
      </c>
      <c r="C58" s="85" t="str">
        <f>IF('[1]370 Community Land Assets in or'!C61="","",'[1]370 Community Land Assets in or'!C61)</f>
        <v/>
      </c>
      <c r="D58" s="47" t="str">
        <f t="shared" si="2"/>
        <v/>
      </c>
      <c r="E58" s="81" t="str">
        <f>IF('[1]370 Community Land Assets in or'!D61="","",'[1]370 Community Land Assets in or'!D61)</f>
        <v/>
      </c>
      <c r="F58" s="81" t="str">
        <f>IF('[1]370 Community Land Assets in or'!E61="","",'[1]370 Community Land Assets in or'!E61)</f>
        <v/>
      </c>
      <c r="G58" s="81" t="str">
        <f>IF('[1]370 Community Land Assets in or'!F61="","",'[1]370 Community Land Assets in or'!F61)</f>
        <v/>
      </c>
      <c r="H58" s="81" t="str">
        <f>IF('[1]370 Community Land Assets in or'!G61="","",'[1]370 Community Land Assets in or'!G61)</f>
        <v/>
      </c>
      <c r="I58" s="81" t="s">
        <v>17</v>
      </c>
      <c r="J58" s="81" t="s">
        <v>17</v>
      </c>
      <c r="K58" s="81" t="s">
        <v>17</v>
      </c>
      <c r="L58" s="81" t="s">
        <v>17</v>
      </c>
      <c r="M58" s="81" t="s">
        <v>17</v>
      </c>
      <c r="N58" s="81" t="s">
        <v>17</v>
      </c>
      <c r="O58" s="81" t="s">
        <v>17</v>
      </c>
      <c r="P58" s="81" t="s">
        <v>17</v>
      </c>
      <c r="Q58" s="81" t="s">
        <v>17</v>
      </c>
      <c r="R58" s="81" t="s">
        <v>17</v>
      </c>
      <c r="S58" s="81" t="s">
        <v>17</v>
      </c>
      <c r="T58" s="81" t="s">
        <v>17</v>
      </c>
      <c r="U58" s="81" t="s">
        <v>17</v>
      </c>
      <c r="V58" s="81" t="s">
        <v>17</v>
      </c>
      <c r="W58" s="81" t="s">
        <v>17</v>
      </c>
      <c r="X58" s="81" t="s">
        <v>17</v>
      </c>
      <c r="Y58" s="81" t="s">
        <v>17</v>
      </c>
      <c r="Z58" s="81" t="s">
        <v>17</v>
      </c>
      <c r="AA58" s="81" t="s">
        <v>17</v>
      </c>
      <c r="AB58" s="81" t="s">
        <v>17</v>
      </c>
      <c r="AC58" s="81" t="s">
        <v>17</v>
      </c>
      <c r="AD58" s="81" t="s">
        <v>17</v>
      </c>
      <c r="AE58" s="81" t="s">
        <v>17</v>
      </c>
      <c r="AF58" s="81" t="s">
        <v>17</v>
      </c>
      <c r="AG58" s="81" t="s">
        <v>17</v>
      </c>
      <c r="AH58" s="81" t="s">
        <v>17</v>
      </c>
      <c r="AI58" s="81" t="s">
        <v>17</v>
      </c>
      <c r="AJ58" s="81" t="s">
        <v>17</v>
      </c>
      <c r="AK58" s="81" t="s">
        <v>17</v>
      </c>
      <c r="AL58" s="81" t="s">
        <v>17</v>
      </c>
      <c r="AM58" s="81" t="s">
        <v>17</v>
      </c>
      <c r="AN58" s="81" t="s">
        <v>17</v>
      </c>
      <c r="AO58" s="81" t="s">
        <v>17</v>
      </c>
      <c r="AP58" s="81" t="s">
        <v>17</v>
      </c>
      <c r="AQ58" s="81" t="s">
        <v>17</v>
      </c>
      <c r="AR58" s="81" t="s">
        <v>17</v>
      </c>
      <c r="AS58" s="81" t="s">
        <v>17</v>
      </c>
      <c r="AT58" s="81" t="s">
        <v>17</v>
      </c>
      <c r="AU58" s="81" t="s">
        <v>17</v>
      </c>
      <c r="AV58" s="81" t="s">
        <v>17</v>
      </c>
      <c r="AW58" s="81" t="s">
        <v>17</v>
      </c>
      <c r="AX58" s="81" t="s">
        <v>17</v>
      </c>
      <c r="AY58" s="81" t="s">
        <v>17</v>
      </c>
      <c r="AZ58" s="81" t="s">
        <v>17</v>
      </c>
      <c r="BA58" s="49"/>
    </row>
    <row r="59" spans="2:53" s="50" customFormat="1" ht="18" hidden="1" customHeight="1">
      <c r="B59" s="85" t="str">
        <f>IF('[1]370 Community Land Assets in or'!B61="","",'[1]370 Community Land Assets in or'!B61)</f>
        <v/>
      </c>
      <c r="C59" s="85" t="str">
        <f>IF('[1]370 Community Land Assets in or'!C62="","",'[1]370 Community Land Assets in or'!C62)</f>
        <v/>
      </c>
      <c r="D59" s="47" t="str">
        <f t="shared" si="2"/>
        <v/>
      </c>
      <c r="E59" s="81" t="str">
        <f>IF('[1]370 Community Land Assets in or'!D62="","",'[1]370 Community Land Assets in or'!D62)</f>
        <v/>
      </c>
      <c r="F59" s="81" t="str">
        <f>IF('[1]370 Community Land Assets in or'!E62="","",'[1]370 Community Land Assets in or'!E62)</f>
        <v/>
      </c>
      <c r="G59" s="81" t="str">
        <f>IF('[1]370 Community Land Assets in or'!F62="","",'[1]370 Community Land Assets in or'!F62)</f>
        <v/>
      </c>
      <c r="H59" s="81" t="str">
        <f>IF('[1]370 Community Land Assets in or'!G62="","",'[1]370 Community Land Assets in or'!G62)</f>
        <v/>
      </c>
      <c r="I59" s="81" t="s">
        <v>17</v>
      </c>
      <c r="J59" s="81" t="s">
        <v>17</v>
      </c>
      <c r="K59" s="81" t="s">
        <v>17</v>
      </c>
      <c r="L59" s="81" t="s">
        <v>17</v>
      </c>
      <c r="M59" s="81" t="s">
        <v>17</v>
      </c>
      <c r="N59" s="81" t="s">
        <v>17</v>
      </c>
      <c r="O59" s="81" t="s">
        <v>17</v>
      </c>
      <c r="P59" s="81" t="s">
        <v>17</v>
      </c>
      <c r="Q59" s="81" t="s">
        <v>17</v>
      </c>
      <c r="R59" s="81" t="s">
        <v>17</v>
      </c>
      <c r="S59" s="81" t="s">
        <v>17</v>
      </c>
      <c r="T59" s="81" t="s">
        <v>17</v>
      </c>
      <c r="U59" s="81" t="s">
        <v>17</v>
      </c>
      <c r="V59" s="81" t="s">
        <v>17</v>
      </c>
      <c r="W59" s="81" t="s">
        <v>17</v>
      </c>
      <c r="X59" s="81" t="s">
        <v>17</v>
      </c>
      <c r="Y59" s="81" t="s">
        <v>17</v>
      </c>
      <c r="Z59" s="81" t="s">
        <v>17</v>
      </c>
      <c r="AA59" s="81" t="s">
        <v>17</v>
      </c>
      <c r="AB59" s="81" t="s">
        <v>17</v>
      </c>
      <c r="AC59" s="81" t="s">
        <v>17</v>
      </c>
      <c r="AD59" s="81" t="s">
        <v>17</v>
      </c>
      <c r="AE59" s="81" t="s">
        <v>17</v>
      </c>
      <c r="AF59" s="81" t="s">
        <v>17</v>
      </c>
      <c r="AG59" s="81" t="s">
        <v>17</v>
      </c>
      <c r="AH59" s="81" t="s">
        <v>17</v>
      </c>
      <c r="AI59" s="81" t="s">
        <v>17</v>
      </c>
      <c r="AJ59" s="81" t="s">
        <v>17</v>
      </c>
      <c r="AK59" s="81" t="s">
        <v>17</v>
      </c>
      <c r="AL59" s="81" t="s">
        <v>17</v>
      </c>
      <c r="AM59" s="81" t="s">
        <v>17</v>
      </c>
      <c r="AN59" s="81" t="s">
        <v>17</v>
      </c>
      <c r="AO59" s="81" t="s">
        <v>17</v>
      </c>
      <c r="AP59" s="81" t="s">
        <v>17</v>
      </c>
      <c r="AQ59" s="81" t="s">
        <v>17</v>
      </c>
      <c r="AR59" s="81" t="s">
        <v>17</v>
      </c>
      <c r="AS59" s="81" t="s">
        <v>17</v>
      </c>
      <c r="AT59" s="81" t="s">
        <v>17</v>
      </c>
      <c r="AU59" s="81" t="s">
        <v>17</v>
      </c>
      <c r="AV59" s="81" t="s">
        <v>17</v>
      </c>
      <c r="AW59" s="81" t="s">
        <v>17</v>
      </c>
      <c r="AX59" s="81" t="s">
        <v>17</v>
      </c>
      <c r="AY59" s="81" t="s">
        <v>17</v>
      </c>
      <c r="AZ59" s="81" t="s">
        <v>17</v>
      </c>
      <c r="BA59" s="49"/>
    </row>
    <row r="60" spans="2:53" s="50" customFormat="1" ht="18" hidden="1" customHeight="1">
      <c r="B60" s="85" t="str">
        <f>IF('[1]370 Community Land Assets in or'!B62="","",'[1]370 Community Land Assets in or'!B62)</f>
        <v/>
      </c>
      <c r="C60" s="85" t="str">
        <f>IF('[1]370 Community Land Assets in or'!C63="","",'[1]370 Community Land Assets in or'!C63)</f>
        <v/>
      </c>
      <c r="D60" s="47" t="str">
        <f t="shared" si="2"/>
        <v/>
      </c>
      <c r="E60" s="81" t="str">
        <f>IF('[1]370 Community Land Assets in or'!D63="","",'[1]370 Community Land Assets in or'!D63)</f>
        <v/>
      </c>
      <c r="F60" s="81" t="str">
        <f>IF('[1]370 Community Land Assets in or'!E63="","",'[1]370 Community Land Assets in or'!E63)</f>
        <v/>
      </c>
      <c r="G60" s="81" t="str">
        <f>IF('[1]370 Community Land Assets in or'!F63="","",'[1]370 Community Land Assets in or'!F63)</f>
        <v/>
      </c>
      <c r="H60" s="81" t="str">
        <f>IF('[1]370 Community Land Assets in or'!G63="","",'[1]370 Community Land Assets in or'!G63)</f>
        <v/>
      </c>
      <c r="I60" s="81" t="s">
        <v>17</v>
      </c>
      <c r="J60" s="81" t="s">
        <v>17</v>
      </c>
      <c r="K60" s="81" t="s">
        <v>17</v>
      </c>
      <c r="L60" s="81" t="s">
        <v>17</v>
      </c>
      <c r="M60" s="81" t="s">
        <v>17</v>
      </c>
      <c r="N60" s="81" t="s">
        <v>17</v>
      </c>
      <c r="O60" s="81" t="s">
        <v>17</v>
      </c>
      <c r="P60" s="81" t="s">
        <v>17</v>
      </c>
      <c r="Q60" s="81" t="s">
        <v>17</v>
      </c>
      <c r="R60" s="81" t="s">
        <v>17</v>
      </c>
      <c r="S60" s="81" t="s">
        <v>17</v>
      </c>
      <c r="T60" s="81" t="s">
        <v>17</v>
      </c>
      <c r="U60" s="81" t="s">
        <v>17</v>
      </c>
      <c r="V60" s="81" t="s">
        <v>17</v>
      </c>
      <c r="W60" s="81" t="s">
        <v>17</v>
      </c>
      <c r="X60" s="81" t="s">
        <v>17</v>
      </c>
      <c r="Y60" s="81" t="s">
        <v>17</v>
      </c>
      <c r="Z60" s="81" t="s">
        <v>17</v>
      </c>
      <c r="AA60" s="81" t="s">
        <v>17</v>
      </c>
      <c r="AB60" s="81" t="s">
        <v>17</v>
      </c>
      <c r="AC60" s="81" t="s">
        <v>17</v>
      </c>
      <c r="AD60" s="81" t="s">
        <v>17</v>
      </c>
      <c r="AE60" s="81" t="s">
        <v>17</v>
      </c>
      <c r="AF60" s="81" t="s">
        <v>17</v>
      </c>
      <c r="AG60" s="81" t="s">
        <v>17</v>
      </c>
      <c r="AH60" s="81" t="s">
        <v>17</v>
      </c>
      <c r="AI60" s="81" t="s">
        <v>17</v>
      </c>
      <c r="AJ60" s="81" t="s">
        <v>17</v>
      </c>
      <c r="AK60" s="81" t="s">
        <v>17</v>
      </c>
      <c r="AL60" s="81" t="s">
        <v>17</v>
      </c>
      <c r="AM60" s="81" t="s">
        <v>17</v>
      </c>
      <c r="AN60" s="81" t="s">
        <v>17</v>
      </c>
      <c r="AO60" s="81" t="s">
        <v>17</v>
      </c>
      <c r="AP60" s="81" t="s">
        <v>17</v>
      </c>
      <c r="AQ60" s="81" t="s">
        <v>17</v>
      </c>
      <c r="AR60" s="81" t="s">
        <v>17</v>
      </c>
      <c r="AS60" s="81" t="s">
        <v>17</v>
      </c>
      <c r="AT60" s="81" t="s">
        <v>17</v>
      </c>
      <c r="AU60" s="81" t="s">
        <v>17</v>
      </c>
      <c r="AV60" s="81" t="s">
        <v>17</v>
      </c>
      <c r="AW60" s="81" t="s">
        <v>17</v>
      </c>
      <c r="AX60" s="81" t="s">
        <v>17</v>
      </c>
      <c r="AY60" s="81" t="s">
        <v>17</v>
      </c>
      <c r="AZ60" s="81" t="s">
        <v>17</v>
      </c>
      <c r="BA60" s="49"/>
    </row>
    <row r="61" spans="2:53" s="50" customFormat="1" ht="18" hidden="1" customHeight="1">
      <c r="B61" s="85" t="str">
        <f>IF('[1]370 Community Land Assets in or'!B63="","",'[1]370 Community Land Assets in or'!B63)</f>
        <v/>
      </c>
      <c r="C61" s="85" t="str">
        <f>IF('[1]370 Community Land Assets in or'!C64="","",'[1]370 Community Land Assets in or'!C64)</f>
        <v/>
      </c>
      <c r="D61" s="47" t="str">
        <f t="shared" si="2"/>
        <v/>
      </c>
      <c r="E61" s="81" t="str">
        <f>IF('[1]370 Community Land Assets in or'!D64="","",'[1]370 Community Land Assets in or'!D64)</f>
        <v/>
      </c>
      <c r="F61" s="81" t="str">
        <f>IF('[1]370 Community Land Assets in or'!E64="","",'[1]370 Community Land Assets in or'!E64)</f>
        <v/>
      </c>
      <c r="G61" s="81" t="str">
        <f>IF('[1]370 Community Land Assets in or'!F64="","",'[1]370 Community Land Assets in or'!F64)</f>
        <v/>
      </c>
      <c r="H61" s="81" t="str">
        <f>IF('[1]370 Community Land Assets in or'!G64="","",'[1]370 Community Land Assets in or'!G64)</f>
        <v/>
      </c>
      <c r="I61" s="81" t="s">
        <v>17</v>
      </c>
      <c r="J61" s="81" t="s">
        <v>17</v>
      </c>
      <c r="K61" s="81" t="s">
        <v>17</v>
      </c>
      <c r="L61" s="81" t="s">
        <v>17</v>
      </c>
      <c r="M61" s="81" t="s">
        <v>17</v>
      </c>
      <c r="N61" s="81" t="s">
        <v>17</v>
      </c>
      <c r="O61" s="81" t="s">
        <v>17</v>
      </c>
      <c r="P61" s="81" t="s">
        <v>17</v>
      </c>
      <c r="Q61" s="81" t="s">
        <v>17</v>
      </c>
      <c r="R61" s="81" t="s">
        <v>17</v>
      </c>
      <c r="S61" s="81" t="s">
        <v>17</v>
      </c>
      <c r="T61" s="81" t="s">
        <v>17</v>
      </c>
      <c r="U61" s="81" t="s">
        <v>17</v>
      </c>
      <c r="V61" s="81" t="s">
        <v>17</v>
      </c>
      <c r="W61" s="81" t="s">
        <v>17</v>
      </c>
      <c r="X61" s="81" t="s">
        <v>17</v>
      </c>
      <c r="Y61" s="81" t="s">
        <v>17</v>
      </c>
      <c r="Z61" s="81" t="s">
        <v>17</v>
      </c>
      <c r="AA61" s="81" t="s">
        <v>17</v>
      </c>
      <c r="AB61" s="81" t="s">
        <v>17</v>
      </c>
      <c r="AC61" s="81" t="s">
        <v>17</v>
      </c>
      <c r="AD61" s="81" t="s">
        <v>17</v>
      </c>
      <c r="AE61" s="81" t="s">
        <v>17</v>
      </c>
      <c r="AF61" s="81" t="s">
        <v>17</v>
      </c>
      <c r="AG61" s="81" t="s">
        <v>17</v>
      </c>
      <c r="AH61" s="81" t="s">
        <v>17</v>
      </c>
      <c r="AI61" s="81" t="s">
        <v>17</v>
      </c>
      <c r="AJ61" s="81" t="s">
        <v>17</v>
      </c>
      <c r="AK61" s="81" t="s">
        <v>17</v>
      </c>
      <c r="AL61" s="81" t="s">
        <v>17</v>
      </c>
      <c r="AM61" s="81" t="s">
        <v>17</v>
      </c>
      <c r="AN61" s="81" t="s">
        <v>17</v>
      </c>
      <c r="AO61" s="81" t="s">
        <v>17</v>
      </c>
      <c r="AP61" s="81" t="s">
        <v>17</v>
      </c>
      <c r="AQ61" s="81" t="s">
        <v>17</v>
      </c>
      <c r="AR61" s="81" t="s">
        <v>17</v>
      </c>
      <c r="AS61" s="81" t="s">
        <v>17</v>
      </c>
      <c r="AT61" s="81" t="s">
        <v>17</v>
      </c>
      <c r="AU61" s="81" t="s">
        <v>17</v>
      </c>
      <c r="AV61" s="81" t="s">
        <v>17</v>
      </c>
      <c r="AW61" s="81" t="s">
        <v>17</v>
      </c>
      <c r="AX61" s="81" t="s">
        <v>17</v>
      </c>
      <c r="AY61" s="81" t="s">
        <v>17</v>
      </c>
      <c r="AZ61" s="81" t="s">
        <v>17</v>
      </c>
      <c r="BA61" s="49"/>
    </row>
    <row r="62" spans="2:53" s="50" customFormat="1" ht="18" hidden="1" customHeight="1">
      <c r="B62" s="85" t="str">
        <f>IF('[1]370 Community Land Assets in or'!B64="","",'[1]370 Community Land Assets in or'!B64)</f>
        <v/>
      </c>
      <c r="C62" s="85" t="str">
        <f>IF('[1]370 Community Land Assets in or'!C65="","",'[1]370 Community Land Assets in or'!C65)</f>
        <v/>
      </c>
      <c r="D62" s="47" t="str">
        <f t="shared" si="2"/>
        <v/>
      </c>
      <c r="E62" s="81" t="str">
        <f>IF('[1]370 Community Land Assets in or'!D65="","",'[1]370 Community Land Assets in or'!D65)</f>
        <v/>
      </c>
      <c r="F62" s="81" t="str">
        <f>IF('[1]370 Community Land Assets in or'!E65="","",'[1]370 Community Land Assets in or'!E65)</f>
        <v/>
      </c>
      <c r="G62" s="81" t="str">
        <f>IF('[1]370 Community Land Assets in or'!F65="","",'[1]370 Community Land Assets in or'!F65)</f>
        <v/>
      </c>
      <c r="H62" s="81" t="str">
        <f>IF('[1]370 Community Land Assets in or'!G65="","",'[1]370 Community Land Assets in or'!G65)</f>
        <v/>
      </c>
      <c r="I62" s="81" t="s">
        <v>17</v>
      </c>
      <c r="J62" s="81" t="s">
        <v>17</v>
      </c>
      <c r="K62" s="81" t="s">
        <v>17</v>
      </c>
      <c r="L62" s="81" t="s">
        <v>17</v>
      </c>
      <c r="M62" s="81" t="s">
        <v>17</v>
      </c>
      <c r="N62" s="81" t="s">
        <v>17</v>
      </c>
      <c r="O62" s="81" t="s">
        <v>17</v>
      </c>
      <c r="P62" s="81" t="s">
        <v>17</v>
      </c>
      <c r="Q62" s="81" t="s">
        <v>17</v>
      </c>
      <c r="R62" s="81" t="s">
        <v>17</v>
      </c>
      <c r="S62" s="81" t="s">
        <v>17</v>
      </c>
      <c r="T62" s="81" t="s">
        <v>17</v>
      </c>
      <c r="U62" s="81" t="s">
        <v>17</v>
      </c>
      <c r="V62" s="81" t="s">
        <v>17</v>
      </c>
      <c r="W62" s="81" t="s">
        <v>17</v>
      </c>
      <c r="X62" s="81" t="s">
        <v>17</v>
      </c>
      <c r="Y62" s="81" t="s">
        <v>17</v>
      </c>
      <c r="Z62" s="81" t="s">
        <v>17</v>
      </c>
      <c r="AA62" s="81" t="s">
        <v>17</v>
      </c>
      <c r="AB62" s="81" t="s">
        <v>17</v>
      </c>
      <c r="AC62" s="81" t="s">
        <v>17</v>
      </c>
      <c r="AD62" s="81" t="s">
        <v>17</v>
      </c>
      <c r="AE62" s="81" t="s">
        <v>17</v>
      </c>
      <c r="AF62" s="81" t="s">
        <v>17</v>
      </c>
      <c r="AG62" s="81" t="s">
        <v>17</v>
      </c>
      <c r="AH62" s="81" t="s">
        <v>17</v>
      </c>
      <c r="AI62" s="81" t="s">
        <v>17</v>
      </c>
      <c r="AJ62" s="81" t="s">
        <v>17</v>
      </c>
      <c r="AK62" s="81" t="s">
        <v>17</v>
      </c>
      <c r="AL62" s="81" t="s">
        <v>17</v>
      </c>
      <c r="AM62" s="81" t="s">
        <v>17</v>
      </c>
      <c r="AN62" s="81" t="s">
        <v>17</v>
      </c>
      <c r="AO62" s="81" t="s">
        <v>17</v>
      </c>
      <c r="AP62" s="81" t="s">
        <v>17</v>
      </c>
      <c r="AQ62" s="81" t="s">
        <v>17</v>
      </c>
      <c r="AR62" s="81" t="s">
        <v>17</v>
      </c>
      <c r="AS62" s="81" t="s">
        <v>17</v>
      </c>
      <c r="AT62" s="81" t="s">
        <v>17</v>
      </c>
      <c r="AU62" s="81" t="s">
        <v>17</v>
      </c>
      <c r="AV62" s="81" t="s">
        <v>17</v>
      </c>
      <c r="AW62" s="81" t="s">
        <v>17</v>
      </c>
      <c r="AX62" s="81" t="s">
        <v>17</v>
      </c>
      <c r="AY62" s="81" t="s">
        <v>17</v>
      </c>
      <c r="AZ62" s="81" t="s">
        <v>17</v>
      </c>
      <c r="BA62" s="49"/>
    </row>
    <row r="63" spans="2:53" s="50" customFormat="1" ht="18" hidden="1" customHeight="1">
      <c r="B63" s="85" t="str">
        <f>IF('[1]370 Community Land Assets in or'!B65="","",'[1]370 Community Land Assets in or'!B65)</f>
        <v/>
      </c>
      <c r="C63" s="85" t="str">
        <f>IF('[1]370 Community Land Assets in or'!C66="","",'[1]370 Community Land Assets in or'!C66)</f>
        <v/>
      </c>
      <c r="D63" s="47" t="str">
        <f t="shared" si="2"/>
        <v/>
      </c>
      <c r="E63" s="81" t="str">
        <f>IF('[1]370 Community Land Assets in or'!D66="","",'[1]370 Community Land Assets in or'!D66)</f>
        <v/>
      </c>
      <c r="F63" s="81" t="str">
        <f>IF('[1]370 Community Land Assets in or'!E66="","",'[1]370 Community Land Assets in or'!E66)</f>
        <v/>
      </c>
      <c r="G63" s="81" t="str">
        <f>IF('[1]370 Community Land Assets in or'!F66="","",'[1]370 Community Land Assets in or'!F66)</f>
        <v/>
      </c>
      <c r="H63" s="81" t="str">
        <f>IF('[1]370 Community Land Assets in or'!G66="","",'[1]370 Community Land Assets in or'!G66)</f>
        <v/>
      </c>
      <c r="I63" s="81" t="s">
        <v>17</v>
      </c>
      <c r="J63" s="81" t="s">
        <v>17</v>
      </c>
      <c r="K63" s="81" t="s">
        <v>17</v>
      </c>
      <c r="L63" s="81" t="s">
        <v>17</v>
      </c>
      <c r="M63" s="81" t="s">
        <v>17</v>
      </c>
      <c r="N63" s="81" t="s">
        <v>17</v>
      </c>
      <c r="O63" s="81" t="s">
        <v>17</v>
      </c>
      <c r="P63" s="81" t="s">
        <v>17</v>
      </c>
      <c r="Q63" s="81" t="s">
        <v>17</v>
      </c>
      <c r="R63" s="81" t="s">
        <v>17</v>
      </c>
      <c r="S63" s="81" t="s">
        <v>17</v>
      </c>
      <c r="T63" s="81" t="s">
        <v>17</v>
      </c>
      <c r="U63" s="81" t="s">
        <v>17</v>
      </c>
      <c r="V63" s="81" t="s">
        <v>17</v>
      </c>
      <c r="W63" s="81" t="s">
        <v>17</v>
      </c>
      <c r="X63" s="81" t="s">
        <v>17</v>
      </c>
      <c r="Y63" s="81" t="s">
        <v>17</v>
      </c>
      <c r="Z63" s="81" t="s">
        <v>17</v>
      </c>
      <c r="AA63" s="81" t="s">
        <v>17</v>
      </c>
      <c r="AB63" s="81" t="s">
        <v>17</v>
      </c>
      <c r="AC63" s="81" t="s">
        <v>17</v>
      </c>
      <c r="AD63" s="81" t="s">
        <v>17</v>
      </c>
      <c r="AE63" s="81" t="s">
        <v>17</v>
      </c>
      <c r="AF63" s="81" t="s">
        <v>17</v>
      </c>
      <c r="AG63" s="81" t="s">
        <v>17</v>
      </c>
      <c r="AH63" s="81" t="s">
        <v>17</v>
      </c>
      <c r="AI63" s="81" t="s">
        <v>17</v>
      </c>
      <c r="AJ63" s="81" t="s">
        <v>17</v>
      </c>
      <c r="AK63" s="81" t="s">
        <v>17</v>
      </c>
      <c r="AL63" s="81" t="s">
        <v>17</v>
      </c>
      <c r="AM63" s="81" t="s">
        <v>17</v>
      </c>
      <c r="AN63" s="81" t="s">
        <v>17</v>
      </c>
      <c r="AO63" s="81" t="s">
        <v>17</v>
      </c>
      <c r="AP63" s="81" t="s">
        <v>17</v>
      </c>
      <c r="AQ63" s="81" t="s">
        <v>17</v>
      </c>
      <c r="AR63" s="81" t="s">
        <v>17</v>
      </c>
      <c r="AS63" s="81" t="s">
        <v>17</v>
      </c>
      <c r="AT63" s="81" t="s">
        <v>17</v>
      </c>
      <c r="AU63" s="81" t="s">
        <v>17</v>
      </c>
      <c r="AV63" s="81" t="s">
        <v>17</v>
      </c>
      <c r="AW63" s="81" t="s">
        <v>17</v>
      </c>
      <c r="AX63" s="81" t="s">
        <v>17</v>
      </c>
      <c r="AY63" s="81" t="s">
        <v>17</v>
      </c>
      <c r="AZ63" s="81" t="s">
        <v>17</v>
      </c>
      <c r="BA63" s="49"/>
    </row>
    <row r="64" spans="2:53" s="50" customFormat="1" ht="18" hidden="1" customHeight="1">
      <c r="B64" s="85" t="str">
        <f>IF('[1]370 Community Land Assets in or'!B66="","",'[1]370 Community Land Assets in or'!B66)</f>
        <v/>
      </c>
      <c r="C64" s="85" t="str">
        <f>IF('[1]370 Community Land Assets in or'!C67="","",'[1]370 Community Land Assets in or'!C67)</f>
        <v/>
      </c>
      <c r="D64" s="47" t="str">
        <f t="shared" si="2"/>
        <v/>
      </c>
      <c r="E64" s="81" t="str">
        <f>IF('[1]370 Community Land Assets in or'!D67="","",'[1]370 Community Land Assets in or'!D67)</f>
        <v/>
      </c>
      <c r="F64" s="81" t="str">
        <f>IF('[1]370 Community Land Assets in or'!E67="","",'[1]370 Community Land Assets in or'!E67)</f>
        <v/>
      </c>
      <c r="G64" s="81" t="str">
        <f>IF('[1]370 Community Land Assets in or'!F67="","",'[1]370 Community Land Assets in or'!F67)</f>
        <v/>
      </c>
      <c r="H64" s="81" t="str">
        <f>IF('[1]370 Community Land Assets in or'!G67="","",'[1]370 Community Land Assets in or'!G67)</f>
        <v/>
      </c>
      <c r="I64" s="81" t="s">
        <v>17</v>
      </c>
      <c r="J64" s="81" t="s">
        <v>17</v>
      </c>
      <c r="K64" s="81" t="s">
        <v>17</v>
      </c>
      <c r="L64" s="81" t="s">
        <v>17</v>
      </c>
      <c r="M64" s="81" t="s">
        <v>17</v>
      </c>
      <c r="N64" s="81" t="s">
        <v>17</v>
      </c>
      <c r="O64" s="81" t="s">
        <v>17</v>
      </c>
      <c r="P64" s="81" t="s">
        <v>17</v>
      </c>
      <c r="Q64" s="81" t="s">
        <v>17</v>
      </c>
      <c r="R64" s="81" t="s">
        <v>17</v>
      </c>
      <c r="S64" s="81" t="s">
        <v>17</v>
      </c>
      <c r="T64" s="81" t="s">
        <v>17</v>
      </c>
      <c r="U64" s="81" t="s">
        <v>17</v>
      </c>
      <c r="V64" s="81" t="s">
        <v>17</v>
      </c>
      <c r="W64" s="81" t="s">
        <v>17</v>
      </c>
      <c r="X64" s="81" t="s">
        <v>17</v>
      </c>
      <c r="Y64" s="81" t="s">
        <v>17</v>
      </c>
      <c r="Z64" s="81" t="s">
        <v>17</v>
      </c>
      <c r="AA64" s="81" t="s">
        <v>17</v>
      </c>
      <c r="AB64" s="81" t="s">
        <v>17</v>
      </c>
      <c r="AC64" s="81" t="s">
        <v>17</v>
      </c>
      <c r="AD64" s="81" t="s">
        <v>17</v>
      </c>
      <c r="AE64" s="81" t="s">
        <v>17</v>
      </c>
      <c r="AF64" s="81" t="s">
        <v>17</v>
      </c>
      <c r="AG64" s="81" t="s">
        <v>17</v>
      </c>
      <c r="AH64" s="81" t="s">
        <v>17</v>
      </c>
      <c r="AI64" s="81" t="s">
        <v>17</v>
      </c>
      <c r="AJ64" s="81" t="s">
        <v>17</v>
      </c>
      <c r="AK64" s="81" t="s">
        <v>17</v>
      </c>
      <c r="AL64" s="81" t="s">
        <v>17</v>
      </c>
      <c r="AM64" s="81" t="s">
        <v>17</v>
      </c>
      <c r="AN64" s="81" t="s">
        <v>17</v>
      </c>
      <c r="AO64" s="81" t="s">
        <v>17</v>
      </c>
      <c r="AP64" s="81" t="s">
        <v>17</v>
      </c>
      <c r="AQ64" s="81" t="s">
        <v>17</v>
      </c>
      <c r="AR64" s="81" t="s">
        <v>17</v>
      </c>
      <c r="AS64" s="81" t="s">
        <v>17</v>
      </c>
      <c r="AT64" s="81" t="s">
        <v>17</v>
      </c>
      <c r="AU64" s="81" t="s">
        <v>17</v>
      </c>
      <c r="AV64" s="81" t="s">
        <v>17</v>
      </c>
      <c r="AW64" s="81" t="s">
        <v>17</v>
      </c>
      <c r="AX64" s="81" t="s">
        <v>17</v>
      </c>
      <c r="AY64" s="81" t="s">
        <v>17</v>
      </c>
      <c r="AZ64" s="81" t="s">
        <v>17</v>
      </c>
      <c r="BA64" s="49"/>
    </row>
    <row r="65" spans="2:53" s="50" customFormat="1" ht="18" hidden="1" customHeight="1">
      <c r="B65" s="85" t="str">
        <f>IF('[1]370 Community Land Assets in or'!B67="","",'[1]370 Community Land Assets in or'!B67)</f>
        <v/>
      </c>
      <c r="C65" s="85" t="str">
        <f>IF('[1]370 Community Land Assets in or'!C68="","",'[1]370 Community Land Assets in or'!C68)</f>
        <v/>
      </c>
      <c r="D65" s="47" t="str">
        <f t="shared" si="2"/>
        <v/>
      </c>
      <c r="E65" s="81" t="str">
        <f>IF('[1]370 Community Land Assets in or'!D68="","",'[1]370 Community Land Assets in or'!D68)</f>
        <v/>
      </c>
      <c r="F65" s="81" t="str">
        <f>IF('[1]370 Community Land Assets in or'!E68="","",'[1]370 Community Land Assets in or'!E68)</f>
        <v/>
      </c>
      <c r="G65" s="81" t="str">
        <f>IF('[1]370 Community Land Assets in or'!F68="","",'[1]370 Community Land Assets in or'!F68)</f>
        <v/>
      </c>
      <c r="H65" s="81" t="str">
        <f>IF('[1]370 Community Land Assets in or'!G68="","",'[1]370 Community Land Assets in or'!G68)</f>
        <v/>
      </c>
      <c r="I65" s="81" t="s">
        <v>17</v>
      </c>
      <c r="J65" s="81" t="s">
        <v>17</v>
      </c>
      <c r="K65" s="81" t="s">
        <v>17</v>
      </c>
      <c r="L65" s="81" t="s">
        <v>17</v>
      </c>
      <c r="M65" s="81" t="s">
        <v>17</v>
      </c>
      <c r="N65" s="81" t="s">
        <v>17</v>
      </c>
      <c r="O65" s="81" t="s">
        <v>17</v>
      </c>
      <c r="P65" s="81" t="s">
        <v>17</v>
      </c>
      <c r="Q65" s="81" t="s">
        <v>17</v>
      </c>
      <c r="R65" s="81" t="s">
        <v>17</v>
      </c>
      <c r="S65" s="81" t="s">
        <v>17</v>
      </c>
      <c r="T65" s="81" t="s">
        <v>17</v>
      </c>
      <c r="U65" s="81" t="s">
        <v>17</v>
      </c>
      <c r="V65" s="81" t="s">
        <v>17</v>
      </c>
      <c r="W65" s="81" t="s">
        <v>17</v>
      </c>
      <c r="X65" s="81" t="s">
        <v>17</v>
      </c>
      <c r="Y65" s="81" t="s">
        <v>17</v>
      </c>
      <c r="Z65" s="81" t="s">
        <v>17</v>
      </c>
      <c r="AA65" s="81" t="s">
        <v>17</v>
      </c>
      <c r="AB65" s="81" t="s">
        <v>17</v>
      </c>
      <c r="AC65" s="81" t="s">
        <v>17</v>
      </c>
      <c r="AD65" s="81" t="s">
        <v>17</v>
      </c>
      <c r="AE65" s="81" t="s">
        <v>17</v>
      </c>
      <c r="AF65" s="81" t="s">
        <v>17</v>
      </c>
      <c r="AG65" s="81" t="s">
        <v>17</v>
      </c>
      <c r="AH65" s="81" t="s">
        <v>17</v>
      </c>
      <c r="AI65" s="81" t="s">
        <v>17</v>
      </c>
      <c r="AJ65" s="81" t="s">
        <v>17</v>
      </c>
      <c r="AK65" s="81" t="s">
        <v>17</v>
      </c>
      <c r="AL65" s="81" t="s">
        <v>17</v>
      </c>
      <c r="AM65" s="81" t="s">
        <v>17</v>
      </c>
      <c r="AN65" s="81" t="s">
        <v>17</v>
      </c>
      <c r="AO65" s="81" t="s">
        <v>17</v>
      </c>
      <c r="AP65" s="81" t="s">
        <v>17</v>
      </c>
      <c r="AQ65" s="81" t="s">
        <v>17</v>
      </c>
      <c r="AR65" s="81" t="s">
        <v>17</v>
      </c>
      <c r="AS65" s="81" t="s">
        <v>17</v>
      </c>
      <c r="AT65" s="81" t="s">
        <v>17</v>
      </c>
      <c r="AU65" s="81" t="s">
        <v>17</v>
      </c>
      <c r="AV65" s="81" t="s">
        <v>17</v>
      </c>
      <c r="AW65" s="81" t="s">
        <v>17</v>
      </c>
      <c r="AX65" s="81" t="s">
        <v>17</v>
      </c>
      <c r="AY65" s="81" t="s">
        <v>17</v>
      </c>
      <c r="AZ65" s="81" t="s">
        <v>17</v>
      </c>
      <c r="BA65" s="49"/>
    </row>
    <row r="66" spans="2:53" s="50" customFormat="1" ht="18" hidden="1" customHeight="1">
      <c r="B66" s="85" t="str">
        <f>IF('[1]370 Community Land Assets in or'!B68="","",'[1]370 Community Land Assets in or'!B68)</f>
        <v/>
      </c>
      <c r="C66" s="85" t="str">
        <f>IF('[1]370 Community Land Assets in or'!C69="","",'[1]370 Community Land Assets in or'!C69)</f>
        <v/>
      </c>
      <c r="D66" s="47" t="str">
        <f t="shared" si="2"/>
        <v/>
      </c>
      <c r="E66" s="81" t="str">
        <f>IF('[1]370 Community Land Assets in or'!D69="","",'[1]370 Community Land Assets in or'!D69)</f>
        <v/>
      </c>
      <c r="F66" s="81" t="str">
        <f>IF('[1]370 Community Land Assets in or'!E69="","",'[1]370 Community Land Assets in or'!E69)</f>
        <v/>
      </c>
      <c r="G66" s="81" t="str">
        <f>IF('[1]370 Community Land Assets in or'!F69="","",'[1]370 Community Land Assets in or'!F69)</f>
        <v/>
      </c>
      <c r="H66" s="81" t="str">
        <f>IF('[1]370 Community Land Assets in or'!G69="","",'[1]370 Community Land Assets in or'!G69)</f>
        <v/>
      </c>
      <c r="I66" s="81" t="s">
        <v>17</v>
      </c>
      <c r="J66" s="81" t="s">
        <v>17</v>
      </c>
      <c r="K66" s="81" t="s">
        <v>17</v>
      </c>
      <c r="L66" s="81" t="s">
        <v>17</v>
      </c>
      <c r="M66" s="81" t="s">
        <v>17</v>
      </c>
      <c r="N66" s="81" t="s">
        <v>17</v>
      </c>
      <c r="O66" s="81" t="s">
        <v>17</v>
      </c>
      <c r="P66" s="81" t="s">
        <v>17</v>
      </c>
      <c r="Q66" s="81" t="s">
        <v>17</v>
      </c>
      <c r="R66" s="81" t="s">
        <v>17</v>
      </c>
      <c r="S66" s="81" t="s">
        <v>17</v>
      </c>
      <c r="T66" s="81" t="s">
        <v>17</v>
      </c>
      <c r="U66" s="81" t="s">
        <v>17</v>
      </c>
      <c r="V66" s="81" t="s">
        <v>17</v>
      </c>
      <c r="W66" s="81" t="s">
        <v>17</v>
      </c>
      <c r="X66" s="81" t="s">
        <v>17</v>
      </c>
      <c r="Y66" s="81" t="s">
        <v>17</v>
      </c>
      <c r="Z66" s="81" t="s">
        <v>17</v>
      </c>
      <c r="AA66" s="81" t="s">
        <v>17</v>
      </c>
      <c r="AB66" s="81" t="s">
        <v>17</v>
      </c>
      <c r="AC66" s="81" t="s">
        <v>17</v>
      </c>
      <c r="AD66" s="81" t="s">
        <v>17</v>
      </c>
      <c r="AE66" s="81" t="s">
        <v>17</v>
      </c>
      <c r="AF66" s="81" t="s">
        <v>17</v>
      </c>
      <c r="AG66" s="81" t="s">
        <v>17</v>
      </c>
      <c r="AH66" s="81" t="s">
        <v>17</v>
      </c>
      <c r="AI66" s="81" t="s">
        <v>17</v>
      </c>
      <c r="AJ66" s="81" t="s">
        <v>17</v>
      </c>
      <c r="AK66" s="81" t="s">
        <v>17</v>
      </c>
      <c r="AL66" s="81" t="s">
        <v>17</v>
      </c>
      <c r="AM66" s="81" t="s">
        <v>17</v>
      </c>
      <c r="AN66" s="81" t="s">
        <v>17</v>
      </c>
      <c r="AO66" s="81" t="s">
        <v>17</v>
      </c>
      <c r="AP66" s="81" t="s">
        <v>17</v>
      </c>
      <c r="AQ66" s="81" t="s">
        <v>17</v>
      </c>
      <c r="AR66" s="81" t="s">
        <v>17</v>
      </c>
      <c r="AS66" s="81" t="s">
        <v>17</v>
      </c>
      <c r="AT66" s="81" t="s">
        <v>17</v>
      </c>
      <c r="AU66" s="81" t="s">
        <v>17</v>
      </c>
      <c r="AV66" s="81" t="s">
        <v>17</v>
      </c>
      <c r="AW66" s="81" t="s">
        <v>17</v>
      </c>
      <c r="AX66" s="81" t="s">
        <v>17</v>
      </c>
      <c r="AY66" s="81" t="s">
        <v>17</v>
      </c>
      <c r="AZ66" s="81" t="s">
        <v>17</v>
      </c>
      <c r="BA66" s="49"/>
    </row>
    <row r="67" spans="2:53" s="50" customFormat="1" ht="18" hidden="1" customHeight="1">
      <c r="B67" s="85" t="str">
        <f>IF('[1]370 Community Land Assets in or'!B69="","",'[1]370 Community Land Assets in or'!B69)</f>
        <v/>
      </c>
      <c r="C67" s="85" t="str">
        <f>IF('[1]370 Community Land Assets in or'!C70="","",'[1]370 Community Land Assets in or'!C70)</f>
        <v/>
      </c>
      <c r="D67" s="47" t="str">
        <f t="shared" si="2"/>
        <v/>
      </c>
      <c r="E67" s="81" t="str">
        <f>IF('[1]370 Community Land Assets in or'!D70="","",'[1]370 Community Land Assets in or'!D70)</f>
        <v/>
      </c>
      <c r="F67" s="81" t="str">
        <f>IF('[1]370 Community Land Assets in or'!E70="","",'[1]370 Community Land Assets in or'!E70)</f>
        <v/>
      </c>
      <c r="G67" s="81" t="str">
        <f>IF('[1]370 Community Land Assets in or'!F70="","",'[1]370 Community Land Assets in or'!F70)</f>
        <v/>
      </c>
      <c r="H67" s="81" t="str">
        <f>IF('[1]370 Community Land Assets in or'!G70="","",'[1]370 Community Land Assets in or'!G70)</f>
        <v/>
      </c>
      <c r="I67" s="81" t="s">
        <v>17</v>
      </c>
      <c r="J67" s="81" t="s">
        <v>17</v>
      </c>
      <c r="K67" s="81" t="s">
        <v>17</v>
      </c>
      <c r="L67" s="81" t="s">
        <v>17</v>
      </c>
      <c r="M67" s="81" t="s">
        <v>17</v>
      </c>
      <c r="N67" s="81" t="s">
        <v>17</v>
      </c>
      <c r="O67" s="81" t="s">
        <v>17</v>
      </c>
      <c r="P67" s="81" t="s">
        <v>17</v>
      </c>
      <c r="Q67" s="81" t="s">
        <v>17</v>
      </c>
      <c r="R67" s="81" t="s">
        <v>17</v>
      </c>
      <c r="S67" s="81" t="s">
        <v>17</v>
      </c>
      <c r="T67" s="81" t="s">
        <v>17</v>
      </c>
      <c r="U67" s="81" t="s">
        <v>17</v>
      </c>
      <c r="V67" s="81" t="s">
        <v>17</v>
      </c>
      <c r="W67" s="81" t="s">
        <v>17</v>
      </c>
      <c r="X67" s="81" t="s">
        <v>17</v>
      </c>
      <c r="Y67" s="81" t="s">
        <v>17</v>
      </c>
      <c r="Z67" s="81" t="s">
        <v>17</v>
      </c>
      <c r="AA67" s="81" t="s">
        <v>17</v>
      </c>
      <c r="AB67" s="81" t="s">
        <v>17</v>
      </c>
      <c r="AC67" s="81" t="s">
        <v>17</v>
      </c>
      <c r="AD67" s="81" t="s">
        <v>17</v>
      </c>
      <c r="AE67" s="81" t="s">
        <v>17</v>
      </c>
      <c r="AF67" s="81" t="s">
        <v>17</v>
      </c>
      <c r="AG67" s="81" t="s">
        <v>17</v>
      </c>
      <c r="AH67" s="81" t="s">
        <v>17</v>
      </c>
      <c r="AI67" s="81" t="s">
        <v>17</v>
      </c>
      <c r="AJ67" s="81" t="s">
        <v>17</v>
      </c>
      <c r="AK67" s="81" t="s">
        <v>17</v>
      </c>
      <c r="AL67" s="81" t="s">
        <v>17</v>
      </c>
      <c r="AM67" s="81" t="s">
        <v>17</v>
      </c>
      <c r="AN67" s="81" t="s">
        <v>17</v>
      </c>
      <c r="AO67" s="81" t="s">
        <v>17</v>
      </c>
      <c r="AP67" s="81" t="s">
        <v>17</v>
      </c>
      <c r="AQ67" s="81" t="s">
        <v>17</v>
      </c>
      <c r="AR67" s="81" t="s">
        <v>17</v>
      </c>
      <c r="AS67" s="81" t="s">
        <v>17</v>
      </c>
      <c r="AT67" s="81" t="s">
        <v>17</v>
      </c>
      <c r="AU67" s="81" t="s">
        <v>17</v>
      </c>
      <c r="AV67" s="81" t="s">
        <v>17</v>
      </c>
      <c r="AW67" s="81" t="s">
        <v>17</v>
      </c>
      <c r="AX67" s="81" t="s">
        <v>17</v>
      </c>
      <c r="AY67" s="81" t="s">
        <v>17</v>
      </c>
      <c r="AZ67" s="81" t="s">
        <v>17</v>
      </c>
      <c r="BA67" s="49"/>
    </row>
    <row r="68" spans="2:53" s="50" customFormat="1" ht="18" hidden="1" customHeight="1">
      <c r="B68" s="85" t="str">
        <f>IF('[1]370 Community Land Assets in or'!B70="","",'[1]370 Community Land Assets in or'!B70)</f>
        <v/>
      </c>
      <c r="C68" s="85" t="str">
        <f>IF('[1]370 Community Land Assets in or'!C71="","",'[1]370 Community Land Assets in or'!C71)</f>
        <v/>
      </c>
      <c r="D68" s="47" t="str">
        <f t="shared" si="2"/>
        <v/>
      </c>
      <c r="E68" s="81" t="str">
        <f>IF('[1]370 Community Land Assets in or'!D71="","",'[1]370 Community Land Assets in or'!D71)</f>
        <v/>
      </c>
      <c r="F68" s="81" t="str">
        <f>IF('[1]370 Community Land Assets in or'!E71="","",'[1]370 Community Land Assets in or'!E71)</f>
        <v/>
      </c>
      <c r="G68" s="81" t="str">
        <f>IF('[1]370 Community Land Assets in or'!F71="","",'[1]370 Community Land Assets in or'!F71)</f>
        <v/>
      </c>
      <c r="H68" s="81" t="str">
        <f>IF('[1]370 Community Land Assets in or'!G71="","",'[1]370 Community Land Assets in or'!G71)</f>
        <v/>
      </c>
      <c r="I68" s="81" t="s">
        <v>17</v>
      </c>
      <c r="J68" s="81" t="s">
        <v>17</v>
      </c>
      <c r="K68" s="81" t="s">
        <v>17</v>
      </c>
      <c r="L68" s="81" t="s">
        <v>17</v>
      </c>
      <c r="M68" s="81" t="s">
        <v>17</v>
      </c>
      <c r="N68" s="81" t="s">
        <v>17</v>
      </c>
      <c r="O68" s="81" t="s">
        <v>17</v>
      </c>
      <c r="P68" s="81" t="s">
        <v>17</v>
      </c>
      <c r="Q68" s="81" t="s">
        <v>17</v>
      </c>
      <c r="R68" s="81" t="s">
        <v>17</v>
      </c>
      <c r="S68" s="81" t="s">
        <v>17</v>
      </c>
      <c r="T68" s="81" t="s">
        <v>17</v>
      </c>
      <c r="U68" s="81" t="s">
        <v>17</v>
      </c>
      <c r="V68" s="81" t="s">
        <v>17</v>
      </c>
      <c r="W68" s="81" t="s">
        <v>17</v>
      </c>
      <c r="X68" s="81" t="s">
        <v>17</v>
      </c>
      <c r="Y68" s="81" t="s">
        <v>17</v>
      </c>
      <c r="Z68" s="81" t="s">
        <v>17</v>
      </c>
      <c r="AA68" s="81" t="s">
        <v>17</v>
      </c>
      <c r="AB68" s="81" t="s">
        <v>17</v>
      </c>
      <c r="AC68" s="81" t="s">
        <v>17</v>
      </c>
      <c r="AD68" s="81" t="s">
        <v>17</v>
      </c>
      <c r="AE68" s="81" t="s">
        <v>17</v>
      </c>
      <c r="AF68" s="81" t="s">
        <v>17</v>
      </c>
      <c r="AG68" s="81" t="s">
        <v>17</v>
      </c>
      <c r="AH68" s="81" t="s">
        <v>17</v>
      </c>
      <c r="AI68" s="81" t="s">
        <v>17</v>
      </c>
      <c r="AJ68" s="81" t="s">
        <v>17</v>
      </c>
      <c r="AK68" s="81" t="s">
        <v>17</v>
      </c>
      <c r="AL68" s="81" t="s">
        <v>17</v>
      </c>
      <c r="AM68" s="81" t="s">
        <v>17</v>
      </c>
      <c r="AN68" s="81" t="s">
        <v>17</v>
      </c>
      <c r="AO68" s="81" t="s">
        <v>17</v>
      </c>
      <c r="AP68" s="81" t="s">
        <v>17</v>
      </c>
      <c r="AQ68" s="81" t="s">
        <v>17</v>
      </c>
      <c r="AR68" s="81" t="s">
        <v>17</v>
      </c>
      <c r="AS68" s="81" t="s">
        <v>17</v>
      </c>
      <c r="AT68" s="81" t="s">
        <v>17</v>
      </c>
      <c r="AU68" s="81" t="s">
        <v>17</v>
      </c>
      <c r="AV68" s="81" t="s">
        <v>17</v>
      </c>
      <c r="AW68" s="81" t="s">
        <v>17</v>
      </c>
      <c r="AX68" s="81" t="s">
        <v>17</v>
      </c>
      <c r="AY68" s="81" t="s">
        <v>17</v>
      </c>
      <c r="AZ68" s="81" t="s">
        <v>17</v>
      </c>
      <c r="BA68" s="49"/>
    </row>
    <row r="69" spans="2:53" s="50" customFormat="1" ht="18" hidden="1" customHeight="1">
      <c r="B69" s="85" t="str">
        <f>IF('[1]370 Community Land Assets in or'!B71="","",'[1]370 Community Land Assets in or'!B71)</f>
        <v/>
      </c>
      <c r="C69" s="85" t="str">
        <f>IF('[1]370 Community Land Assets in or'!C72="","",'[1]370 Community Land Assets in or'!C72)</f>
        <v/>
      </c>
      <c r="D69" s="47" t="str">
        <f t="shared" si="2"/>
        <v/>
      </c>
      <c r="E69" s="81" t="str">
        <f>IF('[1]370 Community Land Assets in or'!D72="","",'[1]370 Community Land Assets in or'!D72)</f>
        <v/>
      </c>
      <c r="F69" s="81" t="str">
        <f>IF('[1]370 Community Land Assets in or'!E72="","",'[1]370 Community Land Assets in or'!E72)</f>
        <v/>
      </c>
      <c r="G69" s="81" t="str">
        <f>IF('[1]370 Community Land Assets in or'!F72="","",'[1]370 Community Land Assets in or'!F72)</f>
        <v/>
      </c>
      <c r="H69" s="81" t="str">
        <f>IF('[1]370 Community Land Assets in or'!G72="","",'[1]370 Community Land Assets in or'!G72)</f>
        <v/>
      </c>
      <c r="I69" s="81" t="s">
        <v>17</v>
      </c>
      <c r="J69" s="81" t="s">
        <v>17</v>
      </c>
      <c r="K69" s="81" t="s">
        <v>17</v>
      </c>
      <c r="L69" s="81" t="s">
        <v>17</v>
      </c>
      <c r="M69" s="81" t="s">
        <v>17</v>
      </c>
      <c r="N69" s="81" t="s">
        <v>17</v>
      </c>
      <c r="O69" s="81" t="s">
        <v>17</v>
      </c>
      <c r="P69" s="81" t="s">
        <v>17</v>
      </c>
      <c r="Q69" s="81" t="s">
        <v>17</v>
      </c>
      <c r="R69" s="81" t="s">
        <v>17</v>
      </c>
      <c r="S69" s="81" t="s">
        <v>17</v>
      </c>
      <c r="T69" s="81" t="s">
        <v>17</v>
      </c>
      <c r="U69" s="81" t="s">
        <v>17</v>
      </c>
      <c r="V69" s="81" t="s">
        <v>17</v>
      </c>
      <c r="W69" s="81" t="s">
        <v>17</v>
      </c>
      <c r="X69" s="81" t="s">
        <v>17</v>
      </c>
      <c r="Y69" s="81" t="s">
        <v>17</v>
      </c>
      <c r="Z69" s="81" t="s">
        <v>17</v>
      </c>
      <c r="AA69" s="81" t="s">
        <v>17</v>
      </c>
      <c r="AB69" s="81" t="s">
        <v>17</v>
      </c>
      <c r="AC69" s="81" t="s">
        <v>17</v>
      </c>
      <c r="AD69" s="81" t="s">
        <v>17</v>
      </c>
      <c r="AE69" s="81" t="s">
        <v>17</v>
      </c>
      <c r="AF69" s="81" t="s">
        <v>17</v>
      </c>
      <c r="AG69" s="81" t="s">
        <v>17</v>
      </c>
      <c r="AH69" s="81" t="s">
        <v>17</v>
      </c>
      <c r="AI69" s="81" t="s">
        <v>17</v>
      </c>
      <c r="AJ69" s="81" t="s">
        <v>17</v>
      </c>
      <c r="AK69" s="81" t="s">
        <v>17</v>
      </c>
      <c r="AL69" s="81" t="s">
        <v>17</v>
      </c>
      <c r="AM69" s="81" t="s">
        <v>17</v>
      </c>
      <c r="AN69" s="81" t="s">
        <v>17</v>
      </c>
      <c r="AO69" s="81" t="s">
        <v>17</v>
      </c>
      <c r="AP69" s="81" t="s">
        <v>17</v>
      </c>
      <c r="AQ69" s="81" t="s">
        <v>17</v>
      </c>
      <c r="AR69" s="81" t="s">
        <v>17</v>
      </c>
      <c r="AS69" s="81" t="s">
        <v>17</v>
      </c>
      <c r="AT69" s="81" t="s">
        <v>17</v>
      </c>
      <c r="AU69" s="81" t="s">
        <v>17</v>
      </c>
      <c r="AV69" s="81" t="s">
        <v>17</v>
      </c>
      <c r="AW69" s="81" t="s">
        <v>17</v>
      </c>
      <c r="AX69" s="81" t="s">
        <v>17</v>
      </c>
      <c r="AY69" s="81" t="s">
        <v>17</v>
      </c>
      <c r="AZ69" s="81" t="s">
        <v>17</v>
      </c>
      <c r="BA69" s="49"/>
    </row>
    <row r="70" spans="2:53" s="50" customFormat="1" ht="18" hidden="1" customHeight="1">
      <c r="B70" s="85" t="str">
        <f>IF('[1]370 Community Land Assets in or'!B72="","",'[1]370 Community Land Assets in or'!B72)</f>
        <v/>
      </c>
      <c r="C70" s="85" t="str">
        <f>IF('[1]370 Community Land Assets in or'!C73="","",'[1]370 Community Land Assets in or'!C73)</f>
        <v/>
      </c>
      <c r="D70" s="47" t="str">
        <f t="shared" si="2"/>
        <v/>
      </c>
      <c r="E70" s="81" t="str">
        <f>IF('[1]370 Community Land Assets in or'!D73="","",'[1]370 Community Land Assets in or'!D73)</f>
        <v/>
      </c>
      <c r="F70" s="81" t="str">
        <f>IF('[1]370 Community Land Assets in or'!E73="","",'[1]370 Community Land Assets in or'!E73)</f>
        <v/>
      </c>
      <c r="G70" s="81" t="str">
        <f>IF('[1]370 Community Land Assets in or'!F73="","",'[1]370 Community Land Assets in or'!F73)</f>
        <v/>
      </c>
      <c r="H70" s="81" t="str">
        <f>IF('[1]370 Community Land Assets in or'!G73="","",'[1]370 Community Land Assets in or'!G73)</f>
        <v/>
      </c>
      <c r="I70" s="81" t="s">
        <v>17</v>
      </c>
      <c r="J70" s="81" t="s">
        <v>17</v>
      </c>
      <c r="K70" s="81" t="s">
        <v>17</v>
      </c>
      <c r="L70" s="81" t="s">
        <v>17</v>
      </c>
      <c r="M70" s="81" t="s">
        <v>17</v>
      </c>
      <c r="N70" s="81" t="s">
        <v>17</v>
      </c>
      <c r="O70" s="81" t="s">
        <v>17</v>
      </c>
      <c r="P70" s="81" t="s">
        <v>17</v>
      </c>
      <c r="Q70" s="81" t="s">
        <v>17</v>
      </c>
      <c r="R70" s="81" t="s">
        <v>17</v>
      </c>
      <c r="S70" s="81" t="s">
        <v>17</v>
      </c>
      <c r="T70" s="81" t="s">
        <v>17</v>
      </c>
      <c r="U70" s="81" t="s">
        <v>17</v>
      </c>
      <c r="V70" s="81" t="s">
        <v>17</v>
      </c>
      <c r="W70" s="81" t="s">
        <v>17</v>
      </c>
      <c r="X70" s="81" t="s">
        <v>17</v>
      </c>
      <c r="Y70" s="81" t="s">
        <v>17</v>
      </c>
      <c r="Z70" s="81" t="s">
        <v>17</v>
      </c>
      <c r="AA70" s="81" t="s">
        <v>17</v>
      </c>
      <c r="AB70" s="81" t="s">
        <v>17</v>
      </c>
      <c r="AC70" s="81" t="s">
        <v>17</v>
      </c>
      <c r="AD70" s="81" t="s">
        <v>17</v>
      </c>
      <c r="AE70" s="81" t="s">
        <v>17</v>
      </c>
      <c r="AF70" s="81" t="s">
        <v>17</v>
      </c>
      <c r="AG70" s="81" t="s">
        <v>17</v>
      </c>
      <c r="AH70" s="81" t="s">
        <v>17</v>
      </c>
      <c r="AI70" s="81" t="s">
        <v>17</v>
      </c>
      <c r="AJ70" s="81" t="s">
        <v>17</v>
      </c>
      <c r="AK70" s="81" t="s">
        <v>17</v>
      </c>
      <c r="AL70" s="81" t="s">
        <v>17</v>
      </c>
      <c r="AM70" s="81" t="s">
        <v>17</v>
      </c>
      <c r="AN70" s="81" t="s">
        <v>17</v>
      </c>
      <c r="AO70" s="81" t="s">
        <v>17</v>
      </c>
      <c r="AP70" s="81" t="s">
        <v>17</v>
      </c>
      <c r="AQ70" s="81" t="s">
        <v>17</v>
      </c>
      <c r="AR70" s="81" t="s">
        <v>17</v>
      </c>
      <c r="AS70" s="81" t="s">
        <v>17</v>
      </c>
      <c r="AT70" s="81" t="s">
        <v>17</v>
      </c>
      <c r="AU70" s="81" t="s">
        <v>17</v>
      </c>
      <c r="AV70" s="81" t="s">
        <v>17</v>
      </c>
      <c r="AW70" s="81" t="s">
        <v>17</v>
      </c>
      <c r="AX70" s="81" t="s">
        <v>17</v>
      </c>
      <c r="AY70" s="81" t="s">
        <v>17</v>
      </c>
      <c r="AZ70" s="81" t="s">
        <v>17</v>
      </c>
      <c r="BA70" s="49"/>
    </row>
    <row r="71" spans="2:53" s="50" customFormat="1" ht="18" hidden="1" customHeight="1">
      <c r="B71" s="85" t="str">
        <f>IF('[1]370 Community Land Assets in or'!B73="","",'[1]370 Community Land Assets in or'!B73)</f>
        <v/>
      </c>
      <c r="C71" s="85" t="str">
        <f>IF('[1]370 Community Land Assets in or'!C74="","",'[1]370 Community Land Assets in or'!C74)</f>
        <v/>
      </c>
      <c r="D71" s="47" t="str">
        <f t="shared" si="2"/>
        <v/>
      </c>
      <c r="E71" s="81" t="str">
        <f>IF('[1]370 Community Land Assets in or'!D74="","",'[1]370 Community Land Assets in or'!D74)</f>
        <v/>
      </c>
      <c r="F71" s="81" t="str">
        <f>IF('[1]370 Community Land Assets in or'!E74="","",'[1]370 Community Land Assets in or'!E74)</f>
        <v/>
      </c>
      <c r="G71" s="81" t="str">
        <f>IF('[1]370 Community Land Assets in or'!F74="","",'[1]370 Community Land Assets in or'!F74)</f>
        <v/>
      </c>
      <c r="H71" s="81" t="str">
        <f>IF('[1]370 Community Land Assets in or'!G74="","",'[1]370 Community Land Assets in or'!G74)</f>
        <v/>
      </c>
      <c r="I71" s="81" t="s">
        <v>17</v>
      </c>
      <c r="J71" s="81" t="s">
        <v>17</v>
      </c>
      <c r="K71" s="81" t="s">
        <v>17</v>
      </c>
      <c r="L71" s="81" t="s">
        <v>17</v>
      </c>
      <c r="M71" s="81" t="s">
        <v>17</v>
      </c>
      <c r="N71" s="81" t="s">
        <v>17</v>
      </c>
      <c r="O71" s="81" t="s">
        <v>17</v>
      </c>
      <c r="P71" s="81" t="s">
        <v>17</v>
      </c>
      <c r="Q71" s="81" t="s">
        <v>17</v>
      </c>
      <c r="R71" s="81" t="s">
        <v>17</v>
      </c>
      <c r="S71" s="81" t="s">
        <v>17</v>
      </c>
      <c r="T71" s="81" t="s">
        <v>17</v>
      </c>
      <c r="U71" s="81" t="s">
        <v>17</v>
      </c>
      <c r="V71" s="81" t="s">
        <v>17</v>
      </c>
      <c r="W71" s="81" t="s">
        <v>17</v>
      </c>
      <c r="X71" s="81" t="s">
        <v>17</v>
      </c>
      <c r="Y71" s="81" t="s">
        <v>17</v>
      </c>
      <c r="Z71" s="81" t="s">
        <v>17</v>
      </c>
      <c r="AA71" s="81" t="s">
        <v>17</v>
      </c>
      <c r="AB71" s="81" t="s">
        <v>17</v>
      </c>
      <c r="AC71" s="81" t="s">
        <v>17</v>
      </c>
      <c r="AD71" s="81" t="s">
        <v>17</v>
      </c>
      <c r="AE71" s="81" t="s">
        <v>17</v>
      </c>
      <c r="AF71" s="81" t="s">
        <v>17</v>
      </c>
      <c r="AG71" s="81" t="s">
        <v>17</v>
      </c>
      <c r="AH71" s="81" t="s">
        <v>17</v>
      </c>
      <c r="AI71" s="81" t="s">
        <v>17</v>
      </c>
      <c r="AJ71" s="81" t="s">
        <v>17</v>
      </c>
      <c r="AK71" s="81" t="s">
        <v>17</v>
      </c>
      <c r="AL71" s="81" t="s">
        <v>17</v>
      </c>
      <c r="AM71" s="81" t="s">
        <v>17</v>
      </c>
      <c r="AN71" s="81" t="s">
        <v>17</v>
      </c>
      <c r="AO71" s="81" t="s">
        <v>17</v>
      </c>
      <c r="AP71" s="81" t="s">
        <v>17</v>
      </c>
      <c r="AQ71" s="81" t="s">
        <v>17</v>
      </c>
      <c r="AR71" s="81" t="s">
        <v>17</v>
      </c>
      <c r="AS71" s="81" t="s">
        <v>17</v>
      </c>
      <c r="AT71" s="81" t="s">
        <v>17</v>
      </c>
      <c r="AU71" s="81" t="s">
        <v>17</v>
      </c>
      <c r="AV71" s="81" t="s">
        <v>17</v>
      </c>
      <c r="AW71" s="81" t="s">
        <v>17</v>
      </c>
      <c r="AX71" s="81" t="s">
        <v>17</v>
      </c>
      <c r="AY71" s="81" t="s">
        <v>17</v>
      </c>
      <c r="AZ71" s="81" t="s">
        <v>17</v>
      </c>
      <c r="BA71" s="49"/>
    </row>
    <row r="72" spans="2:53" s="50" customFormat="1" ht="18" hidden="1" customHeight="1">
      <c r="B72" s="85" t="str">
        <f>IF('[1]370 Community Land Assets in or'!B74="","",'[1]370 Community Land Assets in or'!B74)</f>
        <v/>
      </c>
      <c r="C72" s="85" t="str">
        <f>IF('[1]370 Community Land Assets in or'!C75="","",'[1]370 Community Land Assets in or'!C75)</f>
        <v/>
      </c>
      <c r="D72" s="47" t="str">
        <f t="shared" ref="D72:D99" si="3">IF(B72&lt;&gt;"",CONCATENATE(C72,"      ",B72),C72)</f>
        <v/>
      </c>
      <c r="E72" s="81" t="str">
        <f>IF('[1]370 Community Land Assets in or'!D75="","",'[1]370 Community Land Assets in or'!D75)</f>
        <v/>
      </c>
      <c r="F72" s="81" t="str">
        <f>IF('[1]370 Community Land Assets in or'!E75="","",'[1]370 Community Land Assets in or'!E75)</f>
        <v/>
      </c>
      <c r="G72" s="81" t="str">
        <f>IF('[1]370 Community Land Assets in or'!F75="","",'[1]370 Community Land Assets in or'!F75)</f>
        <v/>
      </c>
      <c r="H72" s="81" t="str">
        <f>IF('[1]370 Community Land Assets in or'!G75="","",'[1]370 Community Land Assets in or'!G75)</f>
        <v/>
      </c>
      <c r="I72" s="81" t="s">
        <v>17</v>
      </c>
      <c r="J72" s="81" t="s">
        <v>17</v>
      </c>
      <c r="K72" s="81" t="s">
        <v>17</v>
      </c>
      <c r="L72" s="81" t="s">
        <v>17</v>
      </c>
      <c r="M72" s="81" t="s">
        <v>17</v>
      </c>
      <c r="N72" s="81" t="s">
        <v>17</v>
      </c>
      <c r="O72" s="81" t="s">
        <v>17</v>
      </c>
      <c r="P72" s="81" t="s">
        <v>17</v>
      </c>
      <c r="Q72" s="81" t="s">
        <v>17</v>
      </c>
      <c r="R72" s="81" t="s">
        <v>17</v>
      </c>
      <c r="S72" s="81" t="s">
        <v>17</v>
      </c>
      <c r="T72" s="81" t="s">
        <v>17</v>
      </c>
      <c r="U72" s="81" t="s">
        <v>17</v>
      </c>
      <c r="V72" s="81" t="s">
        <v>17</v>
      </c>
      <c r="W72" s="81" t="s">
        <v>17</v>
      </c>
      <c r="X72" s="81" t="s">
        <v>17</v>
      </c>
      <c r="Y72" s="81" t="s">
        <v>17</v>
      </c>
      <c r="Z72" s="81" t="s">
        <v>17</v>
      </c>
      <c r="AA72" s="81" t="s">
        <v>17</v>
      </c>
      <c r="AB72" s="81" t="s">
        <v>17</v>
      </c>
      <c r="AC72" s="81" t="s">
        <v>17</v>
      </c>
      <c r="AD72" s="81" t="s">
        <v>17</v>
      </c>
      <c r="AE72" s="81" t="s">
        <v>17</v>
      </c>
      <c r="AF72" s="81" t="s">
        <v>17</v>
      </c>
      <c r="AG72" s="81" t="s">
        <v>17</v>
      </c>
      <c r="AH72" s="81" t="s">
        <v>17</v>
      </c>
      <c r="AI72" s="81" t="s">
        <v>17</v>
      </c>
      <c r="AJ72" s="81" t="s">
        <v>17</v>
      </c>
      <c r="AK72" s="81" t="s">
        <v>17</v>
      </c>
      <c r="AL72" s="81" t="s">
        <v>17</v>
      </c>
      <c r="AM72" s="81" t="s">
        <v>17</v>
      </c>
      <c r="AN72" s="81" t="s">
        <v>17</v>
      </c>
      <c r="AO72" s="81" t="s">
        <v>17</v>
      </c>
      <c r="AP72" s="81" t="s">
        <v>17</v>
      </c>
      <c r="AQ72" s="81" t="s">
        <v>17</v>
      </c>
      <c r="AR72" s="81" t="s">
        <v>17</v>
      </c>
      <c r="AS72" s="81" t="s">
        <v>17</v>
      </c>
      <c r="AT72" s="81" t="s">
        <v>17</v>
      </c>
      <c r="AU72" s="81" t="s">
        <v>17</v>
      </c>
      <c r="AV72" s="81" t="s">
        <v>17</v>
      </c>
      <c r="AW72" s="81" t="s">
        <v>17</v>
      </c>
      <c r="AX72" s="81" t="s">
        <v>17</v>
      </c>
      <c r="AY72" s="81" t="s">
        <v>17</v>
      </c>
      <c r="AZ72" s="81" t="s">
        <v>17</v>
      </c>
      <c r="BA72" s="49"/>
    </row>
    <row r="73" spans="2:53" s="50" customFormat="1" ht="18" hidden="1" customHeight="1">
      <c r="B73" s="85" t="str">
        <f>IF('[1]370 Community Land Assets in or'!B75="","",'[1]370 Community Land Assets in or'!B75)</f>
        <v/>
      </c>
      <c r="C73" s="85" t="str">
        <f>IF('[1]370 Community Land Assets in or'!C76="","",'[1]370 Community Land Assets in or'!C76)</f>
        <v/>
      </c>
      <c r="D73" s="47" t="str">
        <f t="shared" si="3"/>
        <v/>
      </c>
      <c r="E73" s="81" t="str">
        <f>IF('[1]370 Community Land Assets in or'!D76="","",'[1]370 Community Land Assets in or'!D76)</f>
        <v/>
      </c>
      <c r="F73" s="81" t="str">
        <f>IF('[1]370 Community Land Assets in or'!E76="","",'[1]370 Community Land Assets in or'!E76)</f>
        <v/>
      </c>
      <c r="G73" s="81" t="str">
        <f>IF('[1]370 Community Land Assets in or'!F76="","",'[1]370 Community Land Assets in or'!F76)</f>
        <v/>
      </c>
      <c r="H73" s="81" t="str">
        <f>IF('[1]370 Community Land Assets in or'!G76="","",'[1]370 Community Land Assets in or'!G76)</f>
        <v/>
      </c>
      <c r="I73" s="81" t="s">
        <v>17</v>
      </c>
      <c r="J73" s="81" t="s">
        <v>17</v>
      </c>
      <c r="K73" s="81" t="s">
        <v>17</v>
      </c>
      <c r="L73" s="81" t="s">
        <v>17</v>
      </c>
      <c r="M73" s="81" t="s">
        <v>17</v>
      </c>
      <c r="N73" s="81" t="s">
        <v>17</v>
      </c>
      <c r="O73" s="81" t="s">
        <v>17</v>
      </c>
      <c r="P73" s="81" t="s">
        <v>17</v>
      </c>
      <c r="Q73" s="81" t="s">
        <v>17</v>
      </c>
      <c r="R73" s="81" t="s">
        <v>17</v>
      </c>
      <c r="S73" s="81" t="s">
        <v>17</v>
      </c>
      <c r="T73" s="81" t="s">
        <v>17</v>
      </c>
      <c r="U73" s="81" t="s">
        <v>17</v>
      </c>
      <c r="V73" s="81" t="s">
        <v>17</v>
      </c>
      <c r="W73" s="81" t="s">
        <v>17</v>
      </c>
      <c r="X73" s="81" t="s">
        <v>17</v>
      </c>
      <c r="Y73" s="81" t="s">
        <v>17</v>
      </c>
      <c r="Z73" s="81" t="s">
        <v>17</v>
      </c>
      <c r="AA73" s="81" t="s">
        <v>17</v>
      </c>
      <c r="AB73" s="81" t="s">
        <v>17</v>
      </c>
      <c r="AC73" s="81" t="s">
        <v>17</v>
      </c>
      <c r="AD73" s="81" t="s">
        <v>17</v>
      </c>
      <c r="AE73" s="81" t="s">
        <v>17</v>
      </c>
      <c r="AF73" s="81" t="s">
        <v>17</v>
      </c>
      <c r="AG73" s="81" t="s">
        <v>17</v>
      </c>
      <c r="AH73" s="81" t="s">
        <v>17</v>
      </c>
      <c r="AI73" s="81" t="s">
        <v>17</v>
      </c>
      <c r="AJ73" s="81" t="s">
        <v>17</v>
      </c>
      <c r="AK73" s="81" t="s">
        <v>17</v>
      </c>
      <c r="AL73" s="81" t="s">
        <v>17</v>
      </c>
      <c r="AM73" s="81" t="s">
        <v>17</v>
      </c>
      <c r="AN73" s="81" t="s">
        <v>17</v>
      </c>
      <c r="AO73" s="81" t="s">
        <v>17</v>
      </c>
      <c r="AP73" s="81" t="s">
        <v>17</v>
      </c>
      <c r="AQ73" s="81" t="s">
        <v>17</v>
      </c>
      <c r="AR73" s="81" t="s">
        <v>17</v>
      </c>
      <c r="AS73" s="81" t="s">
        <v>17</v>
      </c>
      <c r="AT73" s="81" t="s">
        <v>17</v>
      </c>
      <c r="AU73" s="81" t="s">
        <v>17</v>
      </c>
      <c r="AV73" s="81" t="s">
        <v>17</v>
      </c>
      <c r="AW73" s="81" t="s">
        <v>17</v>
      </c>
      <c r="AX73" s="81" t="s">
        <v>17</v>
      </c>
      <c r="AY73" s="81" t="s">
        <v>17</v>
      </c>
      <c r="AZ73" s="81" t="s">
        <v>17</v>
      </c>
      <c r="BA73" s="49"/>
    </row>
    <row r="74" spans="2:53" s="50" customFormat="1" ht="18" hidden="1" customHeight="1">
      <c r="B74" s="85" t="str">
        <f>IF('[1]370 Community Land Assets in or'!B76="","",'[1]370 Community Land Assets in or'!B76)</f>
        <v/>
      </c>
      <c r="C74" s="85" t="str">
        <f>IF('[1]370 Community Land Assets in or'!C77="","",'[1]370 Community Land Assets in or'!C77)</f>
        <v/>
      </c>
      <c r="D74" s="47" t="str">
        <f t="shared" si="3"/>
        <v/>
      </c>
      <c r="E74" s="81" t="str">
        <f>IF('[1]370 Community Land Assets in or'!D77="","",'[1]370 Community Land Assets in or'!D77)</f>
        <v/>
      </c>
      <c r="F74" s="81" t="str">
        <f>IF('[1]370 Community Land Assets in or'!E77="","",'[1]370 Community Land Assets in or'!E77)</f>
        <v/>
      </c>
      <c r="G74" s="81" t="str">
        <f>IF('[1]370 Community Land Assets in or'!F77="","",'[1]370 Community Land Assets in or'!F77)</f>
        <v/>
      </c>
      <c r="H74" s="81" t="str">
        <f>IF('[1]370 Community Land Assets in or'!G77="","",'[1]370 Community Land Assets in or'!G77)</f>
        <v/>
      </c>
      <c r="I74" s="81" t="s">
        <v>17</v>
      </c>
      <c r="J74" s="81" t="s">
        <v>17</v>
      </c>
      <c r="K74" s="81" t="s">
        <v>17</v>
      </c>
      <c r="L74" s="81" t="s">
        <v>17</v>
      </c>
      <c r="M74" s="81" t="s">
        <v>17</v>
      </c>
      <c r="N74" s="81" t="s">
        <v>17</v>
      </c>
      <c r="O74" s="81" t="s">
        <v>17</v>
      </c>
      <c r="P74" s="81" t="s">
        <v>17</v>
      </c>
      <c r="Q74" s="81" t="s">
        <v>17</v>
      </c>
      <c r="R74" s="81" t="s">
        <v>17</v>
      </c>
      <c r="S74" s="81" t="s">
        <v>17</v>
      </c>
      <c r="T74" s="81" t="s">
        <v>17</v>
      </c>
      <c r="U74" s="81" t="s">
        <v>17</v>
      </c>
      <c r="V74" s="81" t="s">
        <v>17</v>
      </c>
      <c r="W74" s="81" t="s">
        <v>17</v>
      </c>
      <c r="X74" s="81" t="s">
        <v>17</v>
      </c>
      <c r="Y74" s="81" t="s">
        <v>17</v>
      </c>
      <c r="Z74" s="81" t="s">
        <v>17</v>
      </c>
      <c r="AA74" s="81" t="s">
        <v>17</v>
      </c>
      <c r="AB74" s="81" t="s">
        <v>17</v>
      </c>
      <c r="AC74" s="81" t="s">
        <v>17</v>
      </c>
      <c r="AD74" s="81" t="s">
        <v>17</v>
      </c>
      <c r="AE74" s="81" t="s">
        <v>17</v>
      </c>
      <c r="AF74" s="81" t="s">
        <v>17</v>
      </c>
      <c r="AG74" s="81" t="s">
        <v>17</v>
      </c>
      <c r="AH74" s="81" t="s">
        <v>17</v>
      </c>
      <c r="AI74" s="81" t="s">
        <v>17</v>
      </c>
      <c r="AJ74" s="81" t="s">
        <v>17</v>
      </c>
      <c r="AK74" s="81" t="s">
        <v>17</v>
      </c>
      <c r="AL74" s="81" t="s">
        <v>17</v>
      </c>
      <c r="AM74" s="81" t="s">
        <v>17</v>
      </c>
      <c r="AN74" s="81" t="s">
        <v>17</v>
      </c>
      <c r="AO74" s="81" t="s">
        <v>17</v>
      </c>
      <c r="AP74" s="81" t="s">
        <v>17</v>
      </c>
      <c r="AQ74" s="81" t="s">
        <v>17</v>
      </c>
      <c r="AR74" s="81" t="s">
        <v>17</v>
      </c>
      <c r="AS74" s="81" t="s">
        <v>17</v>
      </c>
      <c r="AT74" s="81" t="s">
        <v>17</v>
      </c>
      <c r="AU74" s="81" t="s">
        <v>17</v>
      </c>
      <c r="AV74" s="81" t="s">
        <v>17</v>
      </c>
      <c r="AW74" s="81" t="s">
        <v>17</v>
      </c>
      <c r="AX74" s="81" t="s">
        <v>17</v>
      </c>
      <c r="AY74" s="81" t="s">
        <v>17</v>
      </c>
      <c r="AZ74" s="81" t="s">
        <v>17</v>
      </c>
      <c r="BA74" s="49"/>
    </row>
    <row r="75" spans="2:53" s="50" customFormat="1" ht="18" hidden="1" customHeight="1">
      <c r="B75" s="85" t="str">
        <f>IF('[1]370 Community Land Assets in or'!B77="","",'[1]370 Community Land Assets in or'!B77)</f>
        <v/>
      </c>
      <c r="C75" s="85" t="str">
        <f>IF('[1]370 Community Land Assets in or'!C78="","",'[1]370 Community Land Assets in or'!C78)</f>
        <v/>
      </c>
      <c r="D75" s="47" t="str">
        <f t="shared" si="3"/>
        <v/>
      </c>
      <c r="E75" s="81" t="str">
        <f>IF('[1]370 Community Land Assets in or'!D78="","",'[1]370 Community Land Assets in or'!D78)</f>
        <v/>
      </c>
      <c r="F75" s="81" t="str">
        <f>IF('[1]370 Community Land Assets in or'!E78="","",'[1]370 Community Land Assets in or'!E78)</f>
        <v/>
      </c>
      <c r="G75" s="81" t="str">
        <f>IF('[1]370 Community Land Assets in or'!F78="","",'[1]370 Community Land Assets in or'!F78)</f>
        <v/>
      </c>
      <c r="H75" s="81" t="str">
        <f>IF('[1]370 Community Land Assets in or'!G78="","",'[1]370 Community Land Assets in or'!G78)</f>
        <v/>
      </c>
      <c r="I75" s="81" t="s">
        <v>17</v>
      </c>
      <c r="J75" s="81" t="s">
        <v>17</v>
      </c>
      <c r="K75" s="81" t="s">
        <v>17</v>
      </c>
      <c r="L75" s="81" t="s">
        <v>17</v>
      </c>
      <c r="M75" s="81" t="s">
        <v>17</v>
      </c>
      <c r="N75" s="81" t="s">
        <v>17</v>
      </c>
      <c r="O75" s="81" t="s">
        <v>17</v>
      </c>
      <c r="P75" s="81" t="s">
        <v>17</v>
      </c>
      <c r="Q75" s="81" t="s">
        <v>17</v>
      </c>
      <c r="R75" s="81" t="s">
        <v>17</v>
      </c>
      <c r="S75" s="81" t="s">
        <v>17</v>
      </c>
      <c r="T75" s="81" t="s">
        <v>17</v>
      </c>
      <c r="U75" s="81" t="s">
        <v>17</v>
      </c>
      <c r="V75" s="81" t="s">
        <v>17</v>
      </c>
      <c r="W75" s="81" t="s">
        <v>17</v>
      </c>
      <c r="X75" s="81" t="s">
        <v>17</v>
      </c>
      <c r="Y75" s="81" t="s">
        <v>17</v>
      </c>
      <c r="Z75" s="81" t="s">
        <v>17</v>
      </c>
      <c r="AA75" s="81" t="s">
        <v>17</v>
      </c>
      <c r="AB75" s="81" t="s">
        <v>17</v>
      </c>
      <c r="AC75" s="81" t="s">
        <v>17</v>
      </c>
      <c r="AD75" s="81" t="s">
        <v>17</v>
      </c>
      <c r="AE75" s="81" t="s">
        <v>17</v>
      </c>
      <c r="AF75" s="81" t="s">
        <v>17</v>
      </c>
      <c r="AG75" s="81" t="s">
        <v>17</v>
      </c>
      <c r="AH75" s="81" t="s">
        <v>17</v>
      </c>
      <c r="AI75" s="81" t="s">
        <v>17</v>
      </c>
      <c r="AJ75" s="81" t="s">
        <v>17</v>
      </c>
      <c r="AK75" s="81" t="s">
        <v>17</v>
      </c>
      <c r="AL75" s="81" t="s">
        <v>17</v>
      </c>
      <c r="AM75" s="81" t="s">
        <v>17</v>
      </c>
      <c r="AN75" s="81" t="s">
        <v>17</v>
      </c>
      <c r="AO75" s="81" t="s">
        <v>17</v>
      </c>
      <c r="AP75" s="81" t="s">
        <v>17</v>
      </c>
      <c r="AQ75" s="81" t="s">
        <v>17</v>
      </c>
      <c r="AR75" s="81" t="s">
        <v>17</v>
      </c>
      <c r="AS75" s="81" t="s">
        <v>17</v>
      </c>
      <c r="AT75" s="81" t="s">
        <v>17</v>
      </c>
      <c r="AU75" s="81" t="s">
        <v>17</v>
      </c>
      <c r="AV75" s="81" t="s">
        <v>17</v>
      </c>
      <c r="AW75" s="81" t="s">
        <v>17</v>
      </c>
      <c r="AX75" s="81" t="s">
        <v>17</v>
      </c>
      <c r="AY75" s="81" t="s">
        <v>17</v>
      </c>
      <c r="AZ75" s="81" t="s">
        <v>17</v>
      </c>
      <c r="BA75" s="49"/>
    </row>
    <row r="76" spans="2:53" s="50" customFormat="1" ht="18" hidden="1" customHeight="1">
      <c r="B76" s="85" t="str">
        <f>IF('[1]370 Community Land Assets in or'!B78="","",'[1]370 Community Land Assets in or'!B78)</f>
        <v/>
      </c>
      <c r="C76" s="85" t="str">
        <f>IF('[1]370 Community Land Assets in or'!C79="","",'[1]370 Community Land Assets in or'!C79)</f>
        <v/>
      </c>
      <c r="D76" s="47" t="str">
        <f t="shared" si="3"/>
        <v/>
      </c>
      <c r="E76" s="81" t="str">
        <f>IF('[1]370 Community Land Assets in or'!D79="","",'[1]370 Community Land Assets in or'!D79)</f>
        <v/>
      </c>
      <c r="F76" s="81" t="str">
        <f>IF('[1]370 Community Land Assets in or'!E79="","",'[1]370 Community Land Assets in or'!E79)</f>
        <v/>
      </c>
      <c r="G76" s="81" t="str">
        <f>IF('[1]370 Community Land Assets in or'!F79="","",'[1]370 Community Land Assets in or'!F79)</f>
        <v/>
      </c>
      <c r="H76" s="81" t="str">
        <f>IF('[1]370 Community Land Assets in or'!G79="","",'[1]370 Community Land Assets in or'!G79)</f>
        <v/>
      </c>
      <c r="I76" s="81" t="s">
        <v>17</v>
      </c>
      <c r="J76" s="81" t="s">
        <v>17</v>
      </c>
      <c r="K76" s="81" t="s">
        <v>17</v>
      </c>
      <c r="L76" s="81" t="s">
        <v>17</v>
      </c>
      <c r="M76" s="81" t="s">
        <v>17</v>
      </c>
      <c r="N76" s="81" t="s">
        <v>17</v>
      </c>
      <c r="O76" s="81" t="s">
        <v>17</v>
      </c>
      <c r="P76" s="81" t="s">
        <v>17</v>
      </c>
      <c r="Q76" s="81" t="s">
        <v>17</v>
      </c>
      <c r="R76" s="81" t="s">
        <v>17</v>
      </c>
      <c r="S76" s="81" t="s">
        <v>17</v>
      </c>
      <c r="T76" s="81" t="s">
        <v>17</v>
      </c>
      <c r="U76" s="81" t="s">
        <v>17</v>
      </c>
      <c r="V76" s="81" t="s">
        <v>17</v>
      </c>
      <c r="W76" s="81" t="s">
        <v>17</v>
      </c>
      <c r="X76" s="81" t="s">
        <v>17</v>
      </c>
      <c r="Y76" s="81" t="s">
        <v>17</v>
      </c>
      <c r="Z76" s="81" t="s">
        <v>17</v>
      </c>
      <c r="AA76" s="81" t="s">
        <v>17</v>
      </c>
      <c r="AB76" s="81" t="s">
        <v>17</v>
      </c>
      <c r="AC76" s="81" t="s">
        <v>17</v>
      </c>
      <c r="AD76" s="81" t="s">
        <v>17</v>
      </c>
      <c r="AE76" s="81" t="s">
        <v>17</v>
      </c>
      <c r="AF76" s="81" t="s">
        <v>17</v>
      </c>
      <c r="AG76" s="81" t="s">
        <v>17</v>
      </c>
      <c r="AH76" s="81" t="s">
        <v>17</v>
      </c>
      <c r="AI76" s="81" t="s">
        <v>17</v>
      </c>
      <c r="AJ76" s="81" t="s">
        <v>17</v>
      </c>
      <c r="AK76" s="81" t="s">
        <v>17</v>
      </c>
      <c r="AL76" s="81" t="s">
        <v>17</v>
      </c>
      <c r="AM76" s="81" t="s">
        <v>17</v>
      </c>
      <c r="AN76" s="81" t="s">
        <v>17</v>
      </c>
      <c r="AO76" s="81" t="s">
        <v>17</v>
      </c>
      <c r="AP76" s="81" t="s">
        <v>17</v>
      </c>
      <c r="AQ76" s="81" t="s">
        <v>17</v>
      </c>
      <c r="AR76" s="81" t="s">
        <v>17</v>
      </c>
      <c r="AS76" s="81" t="s">
        <v>17</v>
      </c>
      <c r="AT76" s="81" t="s">
        <v>17</v>
      </c>
      <c r="AU76" s="81" t="s">
        <v>17</v>
      </c>
      <c r="AV76" s="81" t="s">
        <v>17</v>
      </c>
      <c r="AW76" s="81" t="s">
        <v>17</v>
      </c>
      <c r="AX76" s="81" t="s">
        <v>17</v>
      </c>
      <c r="AY76" s="81" t="s">
        <v>17</v>
      </c>
      <c r="AZ76" s="81" t="s">
        <v>17</v>
      </c>
      <c r="BA76" s="49"/>
    </row>
    <row r="77" spans="2:53" s="50" customFormat="1" ht="18" hidden="1" customHeight="1">
      <c r="B77" s="85" t="str">
        <f>IF('[1]370 Community Land Assets in or'!B79="","",'[1]370 Community Land Assets in or'!B79)</f>
        <v/>
      </c>
      <c r="C77" s="85" t="str">
        <f>IF('[1]370 Community Land Assets in or'!C80="","",'[1]370 Community Land Assets in or'!C80)</f>
        <v/>
      </c>
      <c r="D77" s="47" t="str">
        <f t="shared" si="3"/>
        <v/>
      </c>
      <c r="E77" s="81" t="str">
        <f>IF('[1]370 Community Land Assets in or'!D80="","",'[1]370 Community Land Assets in or'!D80)</f>
        <v/>
      </c>
      <c r="F77" s="81" t="str">
        <f>IF('[1]370 Community Land Assets in or'!E80="","",'[1]370 Community Land Assets in or'!E80)</f>
        <v/>
      </c>
      <c r="G77" s="81" t="str">
        <f>IF('[1]370 Community Land Assets in or'!F80="","",'[1]370 Community Land Assets in or'!F80)</f>
        <v/>
      </c>
      <c r="H77" s="81" t="str">
        <f>IF('[1]370 Community Land Assets in or'!G80="","",'[1]370 Community Land Assets in or'!G80)</f>
        <v/>
      </c>
      <c r="I77" s="81" t="s">
        <v>17</v>
      </c>
      <c r="J77" s="81" t="s">
        <v>17</v>
      </c>
      <c r="K77" s="81" t="s">
        <v>17</v>
      </c>
      <c r="L77" s="81" t="s">
        <v>17</v>
      </c>
      <c r="M77" s="81" t="s">
        <v>17</v>
      </c>
      <c r="N77" s="81" t="s">
        <v>17</v>
      </c>
      <c r="O77" s="81" t="s">
        <v>17</v>
      </c>
      <c r="P77" s="81" t="s">
        <v>17</v>
      </c>
      <c r="Q77" s="81" t="s">
        <v>17</v>
      </c>
      <c r="R77" s="81" t="s">
        <v>17</v>
      </c>
      <c r="S77" s="81" t="s">
        <v>17</v>
      </c>
      <c r="T77" s="81" t="s">
        <v>17</v>
      </c>
      <c r="U77" s="81" t="s">
        <v>17</v>
      </c>
      <c r="V77" s="81" t="s">
        <v>17</v>
      </c>
      <c r="W77" s="81" t="s">
        <v>17</v>
      </c>
      <c r="X77" s="81" t="s">
        <v>17</v>
      </c>
      <c r="Y77" s="81" t="s">
        <v>17</v>
      </c>
      <c r="Z77" s="81" t="s">
        <v>17</v>
      </c>
      <c r="AA77" s="81" t="s">
        <v>17</v>
      </c>
      <c r="AB77" s="81" t="s">
        <v>17</v>
      </c>
      <c r="AC77" s="81" t="s">
        <v>17</v>
      </c>
      <c r="AD77" s="81" t="s">
        <v>17</v>
      </c>
      <c r="AE77" s="81" t="s">
        <v>17</v>
      </c>
      <c r="AF77" s="81" t="s">
        <v>17</v>
      </c>
      <c r="AG77" s="81" t="s">
        <v>17</v>
      </c>
      <c r="AH77" s="81" t="s">
        <v>17</v>
      </c>
      <c r="AI77" s="81" t="s">
        <v>17</v>
      </c>
      <c r="AJ77" s="81" t="s">
        <v>17</v>
      </c>
      <c r="AK77" s="81" t="s">
        <v>17</v>
      </c>
      <c r="AL77" s="81" t="s">
        <v>17</v>
      </c>
      <c r="AM77" s="81" t="s">
        <v>17</v>
      </c>
      <c r="AN77" s="81" t="s">
        <v>17</v>
      </c>
      <c r="AO77" s="81" t="s">
        <v>17</v>
      </c>
      <c r="AP77" s="81" t="s">
        <v>17</v>
      </c>
      <c r="AQ77" s="81" t="s">
        <v>17</v>
      </c>
      <c r="AR77" s="81" t="s">
        <v>17</v>
      </c>
      <c r="AS77" s="81" t="s">
        <v>17</v>
      </c>
      <c r="AT77" s="81" t="s">
        <v>17</v>
      </c>
      <c r="AU77" s="81" t="s">
        <v>17</v>
      </c>
      <c r="AV77" s="81" t="s">
        <v>17</v>
      </c>
      <c r="AW77" s="81" t="s">
        <v>17</v>
      </c>
      <c r="AX77" s="81" t="s">
        <v>17</v>
      </c>
      <c r="AY77" s="81" t="s">
        <v>17</v>
      </c>
      <c r="AZ77" s="81" t="s">
        <v>17</v>
      </c>
      <c r="BA77" s="49"/>
    </row>
    <row r="78" spans="2:53" s="50" customFormat="1" ht="18" hidden="1" customHeight="1">
      <c r="B78" s="85" t="str">
        <f>IF('[1]370 Community Land Assets in or'!B80="","",'[1]370 Community Land Assets in or'!B80)</f>
        <v/>
      </c>
      <c r="C78" s="85" t="str">
        <f>IF('[1]370 Community Land Assets in or'!C81="","",'[1]370 Community Land Assets in or'!C81)</f>
        <v/>
      </c>
      <c r="D78" s="47" t="str">
        <f t="shared" si="3"/>
        <v/>
      </c>
      <c r="E78" s="81" t="str">
        <f>IF('[1]370 Community Land Assets in or'!D81="","",'[1]370 Community Land Assets in or'!D81)</f>
        <v/>
      </c>
      <c r="F78" s="81" t="str">
        <f>IF('[1]370 Community Land Assets in or'!E81="","",'[1]370 Community Land Assets in or'!E81)</f>
        <v/>
      </c>
      <c r="G78" s="81" t="str">
        <f>IF('[1]370 Community Land Assets in or'!F81="","",'[1]370 Community Land Assets in or'!F81)</f>
        <v/>
      </c>
      <c r="H78" s="81" t="str">
        <f>IF('[1]370 Community Land Assets in or'!G81="","",'[1]370 Community Land Assets in or'!G81)</f>
        <v/>
      </c>
      <c r="I78" s="81" t="s">
        <v>17</v>
      </c>
      <c r="J78" s="81" t="s">
        <v>17</v>
      </c>
      <c r="K78" s="81" t="s">
        <v>17</v>
      </c>
      <c r="L78" s="81" t="s">
        <v>17</v>
      </c>
      <c r="M78" s="81" t="s">
        <v>17</v>
      </c>
      <c r="N78" s="81" t="s">
        <v>17</v>
      </c>
      <c r="O78" s="81" t="s">
        <v>17</v>
      </c>
      <c r="P78" s="81" t="s">
        <v>17</v>
      </c>
      <c r="Q78" s="81" t="s">
        <v>17</v>
      </c>
      <c r="R78" s="81" t="s">
        <v>17</v>
      </c>
      <c r="S78" s="81" t="s">
        <v>17</v>
      </c>
      <c r="T78" s="81" t="s">
        <v>17</v>
      </c>
      <c r="U78" s="81" t="s">
        <v>17</v>
      </c>
      <c r="V78" s="81" t="s">
        <v>17</v>
      </c>
      <c r="W78" s="81" t="s">
        <v>17</v>
      </c>
      <c r="X78" s="81" t="s">
        <v>17</v>
      </c>
      <c r="Y78" s="81" t="s">
        <v>17</v>
      </c>
      <c r="Z78" s="81" t="s">
        <v>17</v>
      </c>
      <c r="AA78" s="81" t="s">
        <v>17</v>
      </c>
      <c r="AB78" s="81" t="s">
        <v>17</v>
      </c>
      <c r="AC78" s="81" t="s">
        <v>17</v>
      </c>
      <c r="AD78" s="81" t="s">
        <v>17</v>
      </c>
      <c r="AE78" s="81" t="s">
        <v>17</v>
      </c>
      <c r="AF78" s="81" t="s">
        <v>17</v>
      </c>
      <c r="AG78" s="81" t="s">
        <v>17</v>
      </c>
      <c r="AH78" s="81" t="s">
        <v>17</v>
      </c>
      <c r="AI78" s="81" t="s">
        <v>17</v>
      </c>
      <c r="AJ78" s="81" t="s">
        <v>17</v>
      </c>
      <c r="AK78" s="81" t="s">
        <v>17</v>
      </c>
      <c r="AL78" s="81" t="s">
        <v>17</v>
      </c>
      <c r="AM78" s="81" t="s">
        <v>17</v>
      </c>
      <c r="AN78" s="81" t="s">
        <v>17</v>
      </c>
      <c r="AO78" s="81" t="s">
        <v>17</v>
      </c>
      <c r="AP78" s="81" t="s">
        <v>17</v>
      </c>
      <c r="AQ78" s="81" t="s">
        <v>17</v>
      </c>
      <c r="AR78" s="81" t="s">
        <v>17</v>
      </c>
      <c r="AS78" s="81" t="s">
        <v>17</v>
      </c>
      <c r="AT78" s="81" t="s">
        <v>17</v>
      </c>
      <c r="AU78" s="81" t="s">
        <v>17</v>
      </c>
      <c r="AV78" s="81" t="s">
        <v>17</v>
      </c>
      <c r="AW78" s="81" t="s">
        <v>17</v>
      </c>
      <c r="AX78" s="81" t="s">
        <v>17</v>
      </c>
      <c r="AY78" s="81" t="s">
        <v>17</v>
      </c>
      <c r="AZ78" s="81" t="s">
        <v>17</v>
      </c>
      <c r="BA78" s="49"/>
    </row>
    <row r="79" spans="2:53" s="50" customFormat="1" ht="18" hidden="1" customHeight="1">
      <c r="B79" s="85" t="str">
        <f>IF('[1]370 Community Land Assets in or'!B81="","",'[1]370 Community Land Assets in or'!B81)</f>
        <v/>
      </c>
      <c r="C79" s="85" t="str">
        <f>IF('[1]370 Community Land Assets in or'!C82="","",'[1]370 Community Land Assets in or'!C82)</f>
        <v/>
      </c>
      <c r="D79" s="47" t="str">
        <f t="shared" si="3"/>
        <v/>
      </c>
      <c r="E79" s="81" t="str">
        <f>IF('[1]370 Community Land Assets in or'!D82="","",'[1]370 Community Land Assets in or'!D82)</f>
        <v/>
      </c>
      <c r="F79" s="81" t="str">
        <f>IF('[1]370 Community Land Assets in or'!E82="","",'[1]370 Community Land Assets in or'!E82)</f>
        <v/>
      </c>
      <c r="G79" s="81" t="str">
        <f>IF('[1]370 Community Land Assets in or'!F82="","",'[1]370 Community Land Assets in or'!F82)</f>
        <v/>
      </c>
      <c r="H79" s="81" t="str">
        <f>IF('[1]370 Community Land Assets in or'!G82="","",'[1]370 Community Land Assets in or'!G82)</f>
        <v/>
      </c>
      <c r="I79" s="81" t="s">
        <v>17</v>
      </c>
      <c r="J79" s="81" t="s">
        <v>17</v>
      </c>
      <c r="K79" s="81" t="s">
        <v>17</v>
      </c>
      <c r="L79" s="81" t="s">
        <v>17</v>
      </c>
      <c r="M79" s="81" t="s">
        <v>17</v>
      </c>
      <c r="N79" s="81" t="s">
        <v>17</v>
      </c>
      <c r="O79" s="81" t="s">
        <v>17</v>
      </c>
      <c r="P79" s="81" t="s">
        <v>17</v>
      </c>
      <c r="Q79" s="81" t="s">
        <v>17</v>
      </c>
      <c r="R79" s="81" t="s">
        <v>17</v>
      </c>
      <c r="S79" s="81" t="s">
        <v>17</v>
      </c>
      <c r="T79" s="81" t="s">
        <v>17</v>
      </c>
      <c r="U79" s="81" t="s">
        <v>17</v>
      </c>
      <c r="V79" s="81" t="s">
        <v>17</v>
      </c>
      <c r="W79" s="81" t="s">
        <v>17</v>
      </c>
      <c r="X79" s="81" t="s">
        <v>17</v>
      </c>
      <c r="Y79" s="81" t="s">
        <v>17</v>
      </c>
      <c r="Z79" s="81" t="s">
        <v>17</v>
      </c>
      <c r="AA79" s="81" t="s">
        <v>17</v>
      </c>
      <c r="AB79" s="81" t="s">
        <v>17</v>
      </c>
      <c r="AC79" s="81" t="s">
        <v>17</v>
      </c>
      <c r="AD79" s="81" t="s">
        <v>17</v>
      </c>
      <c r="AE79" s="81" t="s">
        <v>17</v>
      </c>
      <c r="AF79" s="81" t="s">
        <v>17</v>
      </c>
      <c r="AG79" s="81" t="s">
        <v>17</v>
      </c>
      <c r="AH79" s="81" t="s">
        <v>17</v>
      </c>
      <c r="AI79" s="81" t="s">
        <v>17</v>
      </c>
      <c r="AJ79" s="81" t="s">
        <v>17</v>
      </c>
      <c r="AK79" s="81" t="s">
        <v>17</v>
      </c>
      <c r="AL79" s="81" t="s">
        <v>17</v>
      </c>
      <c r="AM79" s="81" t="s">
        <v>17</v>
      </c>
      <c r="AN79" s="81" t="s">
        <v>17</v>
      </c>
      <c r="AO79" s="81" t="s">
        <v>17</v>
      </c>
      <c r="AP79" s="81" t="s">
        <v>17</v>
      </c>
      <c r="AQ79" s="81" t="s">
        <v>17</v>
      </c>
      <c r="AR79" s="81" t="s">
        <v>17</v>
      </c>
      <c r="AS79" s="81" t="s">
        <v>17</v>
      </c>
      <c r="AT79" s="81" t="s">
        <v>17</v>
      </c>
      <c r="AU79" s="81" t="s">
        <v>17</v>
      </c>
      <c r="AV79" s="81" t="s">
        <v>17</v>
      </c>
      <c r="AW79" s="81" t="s">
        <v>17</v>
      </c>
      <c r="AX79" s="81" t="s">
        <v>17</v>
      </c>
      <c r="AY79" s="81" t="s">
        <v>17</v>
      </c>
      <c r="AZ79" s="81" t="s">
        <v>17</v>
      </c>
      <c r="BA79" s="49"/>
    </row>
    <row r="80" spans="2:53" s="50" customFormat="1" ht="18" hidden="1" customHeight="1">
      <c r="B80" s="85" t="str">
        <f>IF('[1]370 Community Land Assets in or'!B82="","",'[1]370 Community Land Assets in or'!B82)</f>
        <v/>
      </c>
      <c r="C80" s="85" t="str">
        <f>IF('[1]370 Community Land Assets in or'!C83="","",'[1]370 Community Land Assets in or'!C83)</f>
        <v/>
      </c>
      <c r="D80" s="47" t="str">
        <f t="shared" si="3"/>
        <v/>
      </c>
      <c r="E80" s="81" t="str">
        <f>IF('[1]370 Community Land Assets in or'!D83="","",'[1]370 Community Land Assets in or'!D83)</f>
        <v/>
      </c>
      <c r="F80" s="81" t="str">
        <f>IF('[1]370 Community Land Assets in or'!E83="","",'[1]370 Community Land Assets in or'!E83)</f>
        <v/>
      </c>
      <c r="G80" s="81" t="str">
        <f>IF('[1]370 Community Land Assets in or'!F83="","",'[1]370 Community Land Assets in or'!F83)</f>
        <v/>
      </c>
      <c r="H80" s="81" t="str">
        <f>IF('[1]370 Community Land Assets in or'!G83="","",'[1]370 Community Land Assets in or'!G83)</f>
        <v/>
      </c>
      <c r="I80" s="81" t="s">
        <v>17</v>
      </c>
      <c r="J80" s="81" t="s">
        <v>17</v>
      </c>
      <c r="K80" s="81" t="s">
        <v>17</v>
      </c>
      <c r="L80" s="81" t="s">
        <v>17</v>
      </c>
      <c r="M80" s="81" t="s">
        <v>17</v>
      </c>
      <c r="N80" s="81" t="s">
        <v>17</v>
      </c>
      <c r="O80" s="81" t="s">
        <v>17</v>
      </c>
      <c r="P80" s="81" t="s">
        <v>17</v>
      </c>
      <c r="Q80" s="81" t="s">
        <v>17</v>
      </c>
      <c r="R80" s="81" t="s">
        <v>17</v>
      </c>
      <c r="S80" s="81" t="s">
        <v>17</v>
      </c>
      <c r="T80" s="81" t="s">
        <v>17</v>
      </c>
      <c r="U80" s="81" t="s">
        <v>17</v>
      </c>
      <c r="V80" s="81" t="s">
        <v>17</v>
      </c>
      <c r="W80" s="81" t="s">
        <v>17</v>
      </c>
      <c r="X80" s="81" t="s">
        <v>17</v>
      </c>
      <c r="Y80" s="81" t="s">
        <v>17</v>
      </c>
      <c r="Z80" s="81" t="s">
        <v>17</v>
      </c>
      <c r="AA80" s="81" t="s">
        <v>17</v>
      </c>
      <c r="AB80" s="81" t="s">
        <v>17</v>
      </c>
      <c r="AC80" s="81" t="s">
        <v>17</v>
      </c>
      <c r="AD80" s="81" t="s">
        <v>17</v>
      </c>
      <c r="AE80" s="81" t="s">
        <v>17</v>
      </c>
      <c r="AF80" s="81" t="s">
        <v>17</v>
      </c>
      <c r="AG80" s="81" t="s">
        <v>17</v>
      </c>
      <c r="AH80" s="81" t="s">
        <v>17</v>
      </c>
      <c r="AI80" s="81" t="s">
        <v>17</v>
      </c>
      <c r="AJ80" s="81" t="s">
        <v>17</v>
      </c>
      <c r="AK80" s="81" t="s">
        <v>17</v>
      </c>
      <c r="AL80" s="81" t="s">
        <v>17</v>
      </c>
      <c r="AM80" s="81" t="s">
        <v>17</v>
      </c>
      <c r="AN80" s="81" t="s">
        <v>17</v>
      </c>
      <c r="AO80" s="81" t="s">
        <v>17</v>
      </c>
      <c r="AP80" s="81" t="s">
        <v>17</v>
      </c>
      <c r="AQ80" s="81" t="s">
        <v>17</v>
      </c>
      <c r="AR80" s="81" t="s">
        <v>17</v>
      </c>
      <c r="AS80" s="81" t="s">
        <v>17</v>
      </c>
      <c r="AT80" s="81" t="s">
        <v>17</v>
      </c>
      <c r="AU80" s="81" t="s">
        <v>17</v>
      </c>
      <c r="AV80" s="81" t="s">
        <v>17</v>
      </c>
      <c r="AW80" s="81" t="s">
        <v>17</v>
      </c>
      <c r="AX80" s="81" t="s">
        <v>17</v>
      </c>
      <c r="AY80" s="81" t="s">
        <v>17</v>
      </c>
      <c r="AZ80" s="81" t="s">
        <v>17</v>
      </c>
      <c r="BA80" s="49"/>
    </row>
    <row r="81" spans="2:53" s="50" customFormat="1" ht="18" hidden="1" customHeight="1">
      <c r="B81" s="85" t="str">
        <f>IF('[1]370 Community Land Assets in or'!B83="","",'[1]370 Community Land Assets in or'!B83)</f>
        <v/>
      </c>
      <c r="C81" s="85" t="str">
        <f>IF('[1]370 Community Land Assets in or'!C84="","",'[1]370 Community Land Assets in or'!C84)</f>
        <v/>
      </c>
      <c r="D81" s="47" t="str">
        <f t="shared" si="3"/>
        <v/>
      </c>
      <c r="E81" s="81" t="str">
        <f>IF('[1]370 Community Land Assets in or'!D84="","",'[1]370 Community Land Assets in or'!D84)</f>
        <v/>
      </c>
      <c r="F81" s="81" t="str">
        <f>IF('[1]370 Community Land Assets in or'!E84="","",'[1]370 Community Land Assets in or'!E84)</f>
        <v/>
      </c>
      <c r="G81" s="81" t="str">
        <f>IF('[1]370 Community Land Assets in or'!F84="","",'[1]370 Community Land Assets in or'!F84)</f>
        <v/>
      </c>
      <c r="H81" s="81" t="str">
        <f>IF('[1]370 Community Land Assets in or'!G84="","",'[1]370 Community Land Assets in or'!G84)</f>
        <v/>
      </c>
      <c r="I81" s="81" t="s">
        <v>17</v>
      </c>
      <c r="J81" s="81" t="s">
        <v>17</v>
      </c>
      <c r="K81" s="81" t="s">
        <v>17</v>
      </c>
      <c r="L81" s="81" t="s">
        <v>17</v>
      </c>
      <c r="M81" s="81" t="s">
        <v>17</v>
      </c>
      <c r="N81" s="81" t="s">
        <v>17</v>
      </c>
      <c r="O81" s="81" t="s">
        <v>17</v>
      </c>
      <c r="P81" s="81" t="s">
        <v>17</v>
      </c>
      <c r="Q81" s="81" t="s">
        <v>17</v>
      </c>
      <c r="R81" s="81" t="s">
        <v>17</v>
      </c>
      <c r="S81" s="81" t="s">
        <v>17</v>
      </c>
      <c r="T81" s="81" t="s">
        <v>17</v>
      </c>
      <c r="U81" s="81" t="s">
        <v>17</v>
      </c>
      <c r="V81" s="81" t="s">
        <v>17</v>
      </c>
      <c r="W81" s="81" t="s">
        <v>17</v>
      </c>
      <c r="X81" s="81" t="s">
        <v>17</v>
      </c>
      <c r="Y81" s="81" t="s">
        <v>17</v>
      </c>
      <c r="Z81" s="81" t="s">
        <v>17</v>
      </c>
      <c r="AA81" s="81" t="s">
        <v>17</v>
      </c>
      <c r="AB81" s="81" t="s">
        <v>17</v>
      </c>
      <c r="AC81" s="81" t="s">
        <v>17</v>
      </c>
      <c r="AD81" s="81" t="s">
        <v>17</v>
      </c>
      <c r="AE81" s="81" t="s">
        <v>17</v>
      </c>
      <c r="AF81" s="81" t="s">
        <v>17</v>
      </c>
      <c r="AG81" s="81" t="s">
        <v>17</v>
      </c>
      <c r="AH81" s="81" t="s">
        <v>17</v>
      </c>
      <c r="AI81" s="81" t="s">
        <v>17</v>
      </c>
      <c r="AJ81" s="81" t="s">
        <v>17</v>
      </c>
      <c r="AK81" s="81" t="s">
        <v>17</v>
      </c>
      <c r="AL81" s="81" t="s">
        <v>17</v>
      </c>
      <c r="AM81" s="81" t="s">
        <v>17</v>
      </c>
      <c r="AN81" s="81" t="s">
        <v>17</v>
      </c>
      <c r="AO81" s="81" t="s">
        <v>17</v>
      </c>
      <c r="AP81" s="81" t="s">
        <v>17</v>
      </c>
      <c r="AQ81" s="81" t="s">
        <v>17</v>
      </c>
      <c r="AR81" s="81" t="s">
        <v>17</v>
      </c>
      <c r="AS81" s="81" t="s">
        <v>17</v>
      </c>
      <c r="AT81" s="81" t="s">
        <v>17</v>
      </c>
      <c r="AU81" s="81" t="s">
        <v>17</v>
      </c>
      <c r="AV81" s="81" t="s">
        <v>17</v>
      </c>
      <c r="AW81" s="81" t="s">
        <v>17</v>
      </c>
      <c r="AX81" s="81" t="s">
        <v>17</v>
      </c>
      <c r="AY81" s="81" t="s">
        <v>17</v>
      </c>
      <c r="AZ81" s="81" t="s">
        <v>17</v>
      </c>
      <c r="BA81" s="49"/>
    </row>
    <row r="82" spans="2:53" s="50" customFormat="1" ht="18" hidden="1" customHeight="1">
      <c r="B82" s="85" t="str">
        <f>IF('[1]370 Community Land Assets in or'!B84="","",'[1]370 Community Land Assets in or'!B84)</f>
        <v/>
      </c>
      <c r="C82" s="85" t="str">
        <f>IF('[1]370 Community Land Assets in or'!C85="","",'[1]370 Community Land Assets in or'!C85)</f>
        <v/>
      </c>
      <c r="D82" s="47" t="str">
        <f t="shared" si="3"/>
        <v/>
      </c>
      <c r="E82" s="81" t="str">
        <f>IF('[1]370 Community Land Assets in or'!D85="","",'[1]370 Community Land Assets in or'!D85)</f>
        <v/>
      </c>
      <c r="F82" s="81" t="str">
        <f>IF('[1]370 Community Land Assets in or'!E85="","",'[1]370 Community Land Assets in or'!E85)</f>
        <v/>
      </c>
      <c r="G82" s="81" t="str">
        <f>IF('[1]370 Community Land Assets in or'!F85="","",'[1]370 Community Land Assets in or'!F85)</f>
        <v/>
      </c>
      <c r="H82" s="81" t="str">
        <f>IF('[1]370 Community Land Assets in or'!G85="","",'[1]370 Community Land Assets in or'!G85)</f>
        <v/>
      </c>
      <c r="I82" s="81" t="s">
        <v>17</v>
      </c>
      <c r="J82" s="81" t="s">
        <v>17</v>
      </c>
      <c r="K82" s="81" t="s">
        <v>17</v>
      </c>
      <c r="L82" s="81" t="s">
        <v>17</v>
      </c>
      <c r="M82" s="81" t="s">
        <v>17</v>
      </c>
      <c r="N82" s="81" t="s">
        <v>17</v>
      </c>
      <c r="O82" s="81" t="s">
        <v>17</v>
      </c>
      <c r="P82" s="81" t="s">
        <v>17</v>
      </c>
      <c r="Q82" s="81" t="s">
        <v>17</v>
      </c>
      <c r="R82" s="81" t="s">
        <v>17</v>
      </c>
      <c r="S82" s="81" t="s">
        <v>17</v>
      </c>
      <c r="T82" s="81" t="s">
        <v>17</v>
      </c>
      <c r="U82" s="81" t="s">
        <v>17</v>
      </c>
      <c r="V82" s="81" t="s">
        <v>17</v>
      </c>
      <c r="W82" s="81" t="s">
        <v>17</v>
      </c>
      <c r="X82" s="81" t="s">
        <v>17</v>
      </c>
      <c r="Y82" s="81" t="s">
        <v>17</v>
      </c>
      <c r="Z82" s="81" t="s">
        <v>17</v>
      </c>
      <c r="AA82" s="81" t="s">
        <v>17</v>
      </c>
      <c r="AB82" s="81" t="s">
        <v>17</v>
      </c>
      <c r="AC82" s="81" t="s">
        <v>17</v>
      </c>
      <c r="AD82" s="81" t="s">
        <v>17</v>
      </c>
      <c r="AE82" s="81" t="s">
        <v>17</v>
      </c>
      <c r="AF82" s="81" t="s">
        <v>17</v>
      </c>
      <c r="AG82" s="81" t="s">
        <v>17</v>
      </c>
      <c r="AH82" s="81" t="s">
        <v>17</v>
      </c>
      <c r="AI82" s="81" t="s">
        <v>17</v>
      </c>
      <c r="AJ82" s="81" t="s">
        <v>17</v>
      </c>
      <c r="AK82" s="81" t="s">
        <v>17</v>
      </c>
      <c r="AL82" s="81" t="s">
        <v>17</v>
      </c>
      <c r="AM82" s="81" t="s">
        <v>17</v>
      </c>
      <c r="AN82" s="81" t="s">
        <v>17</v>
      </c>
      <c r="AO82" s="81" t="s">
        <v>17</v>
      </c>
      <c r="AP82" s="81" t="s">
        <v>17</v>
      </c>
      <c r="AQ82" s="81" t="s">
        <v>17</v>
      </c>
      <c r="AR82" s="81" t="s">
        <v>17</v>
      </c>
      <c r="AS82" s="81" t="s">
        <v>17</v>
      </c>
      <c r="AT82" s="81" t="s">
        <v>17</v>
      </c>
      <c r="AU82" s="81" t="s">
        <v>17</v>
      </c>
      <c r="AV82" s="81" t="s">
        <v>17</v>
      </c>
      <c r="AW82" s="81" t="s">
        <v>17</v>
      </c>
      <c r="AX82" s="81" t="s">
        <v>17</v>
      </c>
      <c r="AY82" s="81" t="s">
        <v>17</v>
      </c>
      <c r="AZ82" s="81" t="s">
        <v>17</v>
      </c>
      <c r="BA82" s="49"/>
    </row>
    <row r="83" spans="2:53" s="50" customFormat="1" ht="18" hidden="1" customHeight="1">
      <c r="B83" s="85" t="str">
        <f>IF('[1]370 Community Land Assets in or'!B85="","",'[1]370 Community Land Assets in or'!B85)</f>
        <v/>
      </c>
      <c r="C83" s="85" t="str">
        <f>IF('[1]370 Community Land Assets in or'!C86="","",'[1]370 Community Land Assets in or'!C86)</f>
        <v/>
      </c>
      <c r="D83" s="47" t="str">
        <f t="shared" si="3"/>
        <v/>
      </c>
      <c r="E83" s="81" t="str">
        <f>IF('[1]370 Community Land Assets in or'!D86="","",'[1]370 Community Land Assets in or'!D86)</f>
        <v/>
      </c>
      <c r="F83" s="81" t="str">
        <f>IF('[1]370 Community Land Assets in or'!E86="","",'[1]370 Community Land Assets in or'!E86)</f>
        <v/>
      </c>
      <c r="G83" s="81" t="str">
        <f>IF('[1]370 Community Land Assets in or'!F86="","",'[1]370 Community Land Assets in or'!F86)</f>
        <v/>
      </c>
      <c r="H83" s="81" t="str">
        <f>IF('[1]370 Community Land Assets in or'!G86="","",'[1]370 Community Land Assets in or'!G86)</f>
        <v/>
      </c>
      <c r="I83" s="81" t="s">
        <v>17</v>
      </c>
      <c r="J83" s="81" t="s">
        <v>17</v>
      </c>
      <c r="K83" s="81" t="s">
        <v>17</v>
      </c>
      <c r="L83" s="81" t="s">
        <v>17</v>
      </c>
      <c r="M83" s="81" t="s">
        <v>17</v>
      </c>
      <c r="N83" s="81" t="s">
        <v>17</v>
      </c>
      <c r="O83" s="81" t="s">
        <v>17</v>
      </c>
      <c r="P83" s="81" t="s">
        <v>17</v>
      </c>
      <c r="Q83" s="81" t="s">
        <v>17</v>
      </c>
      <c r="R83" s="81" t="s">
        <v>17</v>
      </c>
      <c r="S83" s="81" t="s">
        <v>17</v>
      </c>
      <c r="T83" s="81" t="s">
        <v>17</v>
      </c>
      <c r="U83" s="81" t="s">
        <v>17</v>
      </c>
      <c r="V83" s="81" t="s">
        <v>17</v>
      </c>
      <c r="W83" s="81" t="s">
        <v>17</v>
      </c>
      <c r="X83" s="81" t="s">
        <v>17</v>
      </c>
      <c r="Y83" s="81" t="s">
        <v>17</v>
      </c>
      <c r="Z83" s="81" t="s">
        <v>17</v>
      </c>
      <c r="AA83" s="81" t="s">
        <v>17</v>
      </c>
      <c r="AB83" s="81" t="s">
        <v>17</v>
      </c>
      <c r="AC83" s="81" t="s">
        <v>17</v>
      </c>
      <c r="AD83" s="81" t="s">
        <v>17</v>
      </c>
      <c r="AE83" s="81" t="s">
        <v>17</v>
      </c>
      <c r="AF83" s="81" t="s">
        <v>17</v>
      </c>
      <c r="AG83" s="81" t="s">
        <v>17</v>
      </c>
      <c r="AH83" s="81" t="s">
        <v>17</v>
      </c>
      <c r="AI83" s="81" t="s">
        <v>17</v>
      </c>
      <c r="AJ83" s="81" t="s">
        <v>17</v>
      </c>
      <c r="AK83" s="81" t="s">
        <v>17</v>
      </c>
      <c r="AL83" s="81" t="s">
        <v>17</v>
      </c>
      <c r="AM83" s="81" t="s">
        <v>17</v>
      </c>
      <c r="AN83" s="81" t="s">
        <v>17</v>
      </c>
      <c r="AO83" s="81" t="s">
        <v>17</v>
      </c>
      <c r="AP83" s="81" t="s">
        <v>17</v>
      </c>
      <c r="AQ83" s="81" t="s">
        <v>17</v>
      </c>
      <c r="AR83" s="81" t="s">
        <v>17</v>
      </c>
      <c r="AS83" s="81" t="s">
        <v>17</v>
      </c>
      <c r="AT83" s="81" t="s">
        <v>17</v>
      </c>
      <c r="AU83" s="81" t="s">
        <v>17</v>
      </c>
      <c r="AV83" s="81" t="s">
        <v>17</v>
      </c>
      <c r="AW83" s="81" t="s">
        <v>17</v>
      </c>
      <c r="AX83" s="81" t="s">
        <v>17</v>
      </c>
      <c r="AY83" s="81" t="s">
        <v>17</v>
      </c>
      <c r="AZ83" s="81" t="s">
        <v>17</v>
      </c>
      <c r="BA83" s="49"/>
    </row>
    <row r="84" spans="2:53" s="50" customFormat="1" ht="18" hidden="1" customHeight="1">
      <c r="B84" s="85" t="str">
        <f>IF('[1]370 Community Land Assets in or'!B86="","",'[1]370 Community Land Assets in or'!B86)</f>
        <v/>
      </c>
      <c r="C84" s="85" t="str">
        <f>IF('[1]370 Community Land Assets in or'!C87="","",'[1]370 Community Land Assets in or'!C87)</f>
        <v/>
      </c>
      <c r="D84" s="47" t="str">
        <f t="shared" si="3"/>
        <v/>
      </c>
      <c r="E84" s="81" t="str">
        <f>IF('[1]370 Community Land Assets in or'!D87="","",'[1]370 Community Land Assets in or'!D87)</f>
        <v/>
      </c>
      <c r="F84" s="81" t="str">
        <f>IF('[1]370 Community Land Assets in or'!E87="","",'[1]370 Community Land Assets in or'!E87)</f>
        <v/>
      </c>
      <c r="G84" s="81" t="str">
        <f>IF('[1]370 Community Land Assets in or'!F87="","",'[1]370 Community Land Assets in or'!F87)</f>
        <v/>
      </c>
      <c r="H84" s="81" t="str">
        <f>IF('[1]370 Community Land Assets in or'!G87="","",'[1]370 Community Land Assets in or'!G87)</f>
        <v/>
      </c>
      <c r="I84" s="81" t="s">
        <v>17</v>
      </c>
      <c r="J84" s="81" t="s">
        <v>17</v>
      </c>
      <c r="K84" s="81" t="s">
        <v>17</v>
      </c>
      <c r="L84" s="81" t="s">
        <v>17</v>
      </c>
      <c r="M84" s="81" t="s">
        <v>17</v>
      </c>
      <c r="N84" s="81" t="s">
        <v>17</v>
      </c>
      <c r="O84" s="81" t="s">
        <v>17</v>
      </c>
      <c r="P84" s="81" t="s">
        <v>17</v>
      </c>
      <c r="Q84" s="81" t="s">
        <v>17</v>
      </c>
      <c r="R84" s="81" t="s">
        <v>17</v>
      </c>
      <c r="S84" s="81" t="s">
        <v>17</v>
      </c>
      <c r="T84" s="81" t="s">
        <v>17</v>
      </c>
      <c r="U84" s="81" t="s">
        <v>17</v>
      </c>
      <c r="V84" s="81" t="s">
        <v>17</v>
      </c>
      <c r="W84" s="81" t="s">
        <v>17</v>
      </c>
      <c r="X84" s="81" t="s">
        <v>17</v>
      </c>
      <c r="Y84" s="81" t="s">
        <v>17</v>
      </c>
      <c r="Z84" s="81" t="s">
        <v>17</v>
      </c>
      <c r="AA84" s="81" t="s">
        <v>17</v>
      </c>
      <c r="AB84" s="81" t="s">
        <v>17</v>
      </c>
      <c r="AC84" s="81" t="s">
        <v>17</v>
      </c>
      <c r="AD84" s="81" t="s">
        <v>17</v>
      </c>
      <c r="AE84" s="81" t="s">
        <v>17</v>
      </c>
      <c r="AF84" s="81" t="s">
        <v>17</v>
      </c>
      <c r="AG84" s="81" t="s">
        <v>17</v>
      </c>
      <c r="AH84" s="81" t="s">
        <v>17</v>
      </c>
      <c r="AI84" s="81" t="s">
        <v>17</v>
      </c>
      <c r="AJ84" s="81" t="s">
        <v>17</v>
      </c>
      <c r="AK84" s="81" t="s">
        <v>17</v>
      </c>
      <c r="AL84" s="81" t="s">
        <v>17</v>
      </c>
      <c r="AM84" s="81" t="s">
        <v>17</v>
      </c>
      <c r="AN84" s="81" t="s">
        <v>17</v>
      </c>
      <c r="AO84" s="81" t="s">
        <v>17</v>
      </c>
      <c r="AP84" s="81" t="s">
        <v>17</v>
      </c>
      <c r="AQ84" s="81" t="s">
        <v>17</v>
      </c>
      <c r="AR84" s="81" t="s">
        <v>17</v>
      </c>
      <c r="AS84" s="81" t="s">
        <v>17</v>
      </c>
      <c r="AT84" s="81" t="s">
        <v>17</v>
      </c>
      <c r="AU84" s="81" t="s">
        <v>17</v>
      </c>
      <c r="AV84" s="81" t="s">
        <v>17</v>
      </c>
      <c r="AW84" s="81" t="s">
        <v>17</v>
      </c>
      <c r="AX84" s="81" t="s">
        <v>17</v>
      </c>
      <c r="AY84" s="81" t="s">
        <v>17</v>
      </c>
      <c r="AZ84" s="81" t="s">
        <v>17</v>
      </c>
      <c r="BA84" s="49"/>
    </row>
    <row r="85" spans="2:53" s="50" customFormat="1" ht="18" hidden="1" customHeight="1">
      <c r="B85" s="85" t="str">
        <f>IF('[1]370 Community Land Assets in or'!B87="","",'[1]370 Community Land Assets in or'!B87)</f>
        <v/>
      </c>
      <c r="C85" s="85" t="str">
        <f>IF('[1]370 Community Land Assets in or'!C88="","",'[1]370 Community Land Assets in or'!C88)</f>
        <v/>
      </c>
      <c r="D85" s="47" t="str">
        <f t="shared" si="3"/>
        <v/>
      </c>
      <c r="E85" s="81" t="str">
        <f>IF('[1]370 Community Land Assets in or'!D88="","",'[1]370 Community Land Assets in or'!D88)</f>
        <v/>
      </c>
      <c r="F85" s="81" t="str">
        <f>IF('[1]370 Community Land Assets in or'!E88="","",'[1]370 Community Land Assets in or'!E88)</f>
        <v/>
      </c>
      <c r="G85" s="81" t="str">
        <f>IF('[1]370 Community Land Assets in or'!F88="","",'[1]370 Community Land Assets in or'!F88)</f>
        <v/>
      </c>
      <c r="H85" s="81" t="str">
        <f>IF('[1]370 Community Land Assets in or'!G88="","",'[1]370 Community Land Assets in or'!G88)</f>
        <v/>
      </c>
      <c r="I85" s="81" t="s">
        <v>17</v>
      </c>
      <c r="J85" s="81" t="s">
        <v>17</v>
      </c>
      <c r="K85" s="81" t="s">
        <v>17</v>
      </c>
      <c r="L85" s="81" t="s">
        <v>17</v>
      </c>
      <c r="M85" s="81" t="s">
        <v>17</v>
      </c>
      <c r="N85" s="81" t="s">
        <v>17</v>
      </c>
      <c r="O85" s="81" t="s">
        <v>17</v>
      </c>
      <c r="P85" s="81" t="s">
        <v>17</v>
      </c>
      <c r="Q85" s="81" t="s">
        <v>17</v>
      </c>
      <c r="R85" s="81" t="s">
        <v>17</v>
      </c>
      <c r="S85" s="81" t="s">
        <v>17</v>
      </c>
      <c r="T85" s="81" t="s">
        <v>17</v>
      </c>
      <c r="U85" s="81" t="s">
        <v>17</v>
      </c>
      <c r="V85" s="81" t="s">
        <v>17</v>
      </c>
      <c r="W85" s="81" t="s">
        <v>17</v>
      </c>
      <c r="X85" s="81" t="s">
        <v>17</v>
      </c>
      <c r="Y85" s="81" t="s">
        <v>17</v>
      </c>
      <c r="Z85" s="81" t="s">
        <v>17</v>
      </c>
      <c r="AA85" s="81" t="s">
        <v>17</v>
      </c>
      <c r="AB85" s="81" t="s">
        <v>17</v>
      </c>
      <c r="AC85" s="81" t="s">
        <v>17</v>
      </c>
      <c r="AD85" s="81" t="s">
        <v>17</v>
      </c>
      <c r="AE85" s="81" t="s">
        <v>17</v>
      </c>
      <c r="AF85" s="81" t="s">
        <v>17</v>
      </c>
      <c r="AG85" s="81" t="s">
        <v>17</v>
      </c>
      <c r="AH85" s="81" t="s">
        <v>17</v>
      </c>
      <c r="AI85" s="81" t="s">
        <v>17</v>
      </c>
      <c r="AJ85" s="81" t="s">
        <v>17</v>
      </c>
      <c r="AK85" s="81" t="s">
        <v>17</v>
      </c>
      <c r="AL85" s="81" t="s">
        <v>17</v>
      </c>
      <c r="AM85" s="81" t="s">
        <v>17</v>
      </c>
      <c r="AN85" s="81" t="s">
        <v>17</v>
      </c>
      <c r="AO85" s="81" t="s">
        <v>17</v>
      </c>
      <c r="AP85" s="81" t="s">
        <v>17</v>
      </c>
      <c r="AQ85" s="81" t="s">
        <v>17</v>
      </c>
      <c r="AR85" s="81" t="s">
        <v>17</v>
      </c>
      <c r="AS85" s="81" t="s">
        <v>17</v>
      </c>
      <c r="AT85" s="81" t="s">
        <v>17</v>
      </c>
      <c r="AU85" s="81" t="s">
        <v>17</v>
      </c>
      <c r="AV85" s="81" t="s">
        <v>17</v>
      </c>
      <c r="AW85" s="81" t="s">
        <v>17</v>
      </c>
      <c r="AX85" s="81" t="s">
        <v>17</v>
      </c>
      <c r="AY85" s="81" t="s">
        <v>17</v>
      </c>
      <c r="AZ85" s="81" t="s">
        <v>17</v>
      </c>
      <c r="BA85" s="49"/>
    </row>
    <row r="86" spans="2:53" s="50" customFormat="1" ht="18" hidden="1" customHeight="1">
      <c r="B86" s="85" t="str">
        <f>IF('[1]370 Community Land Assets in or'!B88="","",'[1]370 Community Land Assets in or'!B88)</f>
        <v/>
      </c>
      <c r="C86" s="85" t="str">
        <f>IF('[1]370 Community Land Assets in or'!C89="","",'[1]370 Community Land Assets in or'!C89)</f>
        <v/>
      </c>
      <c r="D86" s="47" t="str">
        <f t="shared" si="3"/>
        <v/>
      </c>
      <c r="E86" s="81" t="str">
        <f>IF('[1]370 Community Land Assets in or'!D89="","",'[1]370 Community Land Assets in or'!D89)</f>
        <v/>
      </c>
      <c r="F86" s="81" t="str">
        <f>IF('[1]370 Community Land Assets in or'!E89="","",'[1]370 Community Land Assets in or'!E89)</f>
        <v/>
      </c>
      <c r="G86" s="81" t="str">
        <f>IF('[1]370 Community Land Assets in or'!F89="","",'[1]370 Community Land Assets in or'!F89)</f>
        <v/>
      </c>
      <c r="H86" s="81" t="str">
        <f>IF('[1]370 Community Land Assets in or'!G89="","",'[1]370 Community Land Assets in or'!G89)</f>
        <v/>
      </c>
      <c r="I86" s="81" t="s">
        <v>17</v>
      </c>
      <c r="J86" s="81" t="s">
        <v>17</v>
      </c>
      <c r="K86" s="81" t="s">
        <v>17</v>
      </c>
      <c r="L86" s="81" t="s">
        <v>17</v>
      </c>
      <c r="M86" s="81" t="s">
        <v>17</v>
      </c>
      <c r="N86" s="81" t="s">
        <v>17</v>
      </c>
      <c r="O86" s="81" t="s">
        <v>17</v>
      </c>
      <c r="P86" s="81" t="s">
        <v>17</v>
      </c>
      <c r="Q86" s="81" t="s">
        <v>17</v>
      </c>
      <c r="R86" s="81" t="s">
        <v>17</v>
      </c>
      <c r="S86" s="81" t="s">
        <v>17</v>
      </c>
      <c r="T86" s="81" t="s">
        <v>17</v>
      </c>
      <c r="U86" s="81" t="s">
        <v>17</v>
      </c>
      <c r="V86" s="81" t="s">
        <v>17</v>
      </c>
      <c r="W86" s="81" t="s">
        <v>17</v>
      </c>
      <c r="X86" s="81" t="s">
        <v>17</v>
      </c>
      <c r="Y86" s="81" t="s">
        <v>17</v>
      </c>
      <c r="Z86" s="81" t="s">
        <v>17</v>
      </c>
      <c r="AA86" s="81" t="s">
        <v>17</v>
      </c>
      <c r="AB86" s="81" t="s">
        <v>17</v>
      </c>
      <c r="AC86" s="81" t="s">
        <v>17</v>
      </c>
      <c r="AD86" s="81" t="s">
        <v>17</v>
      </c>
      <c r="AE86" s="81" t="s">
        <v>17</v>
      </c>
      <c r="AF86" s="81" t="s">
        <v>17</v>
      </c>
      <c r="AG86" s="81" t="s">
        <v>17</v>
      </c>
      <c r="AH86" s="81" t="s">
        <v>17</v>
      </c>
      <c r="AI86" s="81" t="s">
        <v>17</v>
      </c>
      <c r="AJ86" s="81" t="s">
        <v>17</v>
      </c>
      <c r="AK86" s="81" t="s">
        <v>17</v>
      </c>
      <c r="AL86" s="81" t="s">
        <v>17</v>
      </c>
      <c r="AM86" s="81" t="s">
        <v>17</v>
      </c>
      <c r="AN86" s="81" t="s">
        <v>17</v>
      </c>
      <c r="AO86" s="81" t="s">
        <v>17</v>
      </c>
      <c r="AP86" s="81" t="s">
        <v>17</v>
      </c>
      <c r="AQ86" s="81" t="s">
        <v>17</v>
      </c>
      <c r="AR86" s="81" t="s">
        <v>17</v>
      </c>
      <c r="AS86" s="81" t="s">
        <v>17</v>
      </c>
      <c r="AT86" s="81" t="s">
        <v>17</v>
      </c>
      <c r="AU86" s="81" t="s">
        <v>17</v>
      </c>
      <c r="AV86" s="81" t="s">
        <v>17</v>
      </c>
      <c r="AW86" s="81" t="s">
        <v>17</v>
      </c>
      <c r="AX86" s="81" t="s">
        <v>17</v>
      </c>
      <c r="AY86" s="81" t="s">
        <v>17</v>
      </c>
      <c r="AZ86" s="81" t="s">
        <v>17</v>
      </c>
      <c r="BA86" s="49"/>
    </row>
    <row r="87" spans="2:53" s="50" customFormat="1" ht="18" hidden="1" customHeight="1">
      <c r="B87" s="85" t="str">
        <f>IF('[1]370 Community Land Assets in or'!B89="","",'[1]370 Community Land Assets in or'!B89)</f>
        <v/>
      </c>
      <c r="C87" s="85" t="str">
        <f>IF('[1]370 Community Land Assets in or'!C90="","",'[1]370 Community Land Assets in or'!C90)</f>
        <v/>
      </c>
      <c r="D87" s="47" t="str">
        <f t="shared" si="3"/>
        <v/>
      </c>
      <c r="E87" s="81" t="str">
        <f>IF('[1]370 Community Land Assets in or'!D90="","",'[1]370 Community Land Assets in or'!D90)</f>
        <v/>
      </c>
      <c r="F87" s="81" t="str">
        <f>IF('[1]370 Community Land Assets in or'!E90="","",'[1]370 Community Land Assets in or'!E90)</f>
        <v/>
      </c>
      <c r="G87" s="81" t="str">
        <f>IF('[1]370 Community Land Assets in or'!F90="","",'[1]370 Community Land Assets in or'!F90)</f>
        <v/>
      </c>
      <c r="H87" s="81" t="str">
        <f>IF('[1]370 Community Land Assets in or'!G90="","",'[1]370 Community Land Assets in or'!G90)</f>
        <v/>
      </c>
      <c r="I87" s="81" t="s">
        <v>17</v>
      </c>
      <c r="J87" s="81" t="s">
        <v>17</v>
      </c>
      <c r="K87" s="81" t="s">
        <v>17</v>
      </c>
      <c r="L87" s="81" t="s">
        <v>17</v>
      </c>
      <c r="M87" s="81" t="s">
        <v>17</v>
      </c>
      <c r="N87" s="81" t="s">
        <v>17</v>
      </c>
      <c r="O87" s="81" t="s">
        <v>17</v>
      </c>
      <c r="P87" s="81" t="s">
        <v>17</v>
      </c>
      <c r="Q87" s="81" t="s">
        <v>17</v>
      </c>
      <c r="R87" s="81" t="s">
        <v>17</v>
      </c>
      <c r="S87" s="81" t="s">
        <v>17</v>
      </c>
      <c r="T87" s="81" t="s">
        <v>17</v>
      </c>
      <c r="U87" s="81" t="s">
        <v>17</v>
      </c>
      <c r="V87" s="81" t="s">
        <v>17</v>
      </c>
      <c r="W87" s="81" t="s">
        <v>17</v>
      </c>
      <c r="X87" s="81" t="s">
        <v>17</v>
      </c>
      <c r="Y87" s="81" t="s">
        <v>17</v>
      </c>
      <c r="Z87" s="81" t="s">
        <v>17</v>
      </c>
      <c r="AA87" s="81" t="s">
        <v>17</v>
      </c>
      <c r="AB87" s="81" t="s">
        <v>17</v>
      </c>
      <c r="AC87" s="81" t="s">
        <v>17</v>
      </c>
      <c r="AD87" s="81" t="s">
        <v>17</v>
      </c>
      <c r="AE87" s="81" t="s">
        <v>17</v>
      </c>
      <c r="AF87" s="81" t="s">
        <v>17</v>
      </c>
      <c r="AG87" s="81" t="s">
        <v>17</v>
      </c>
      <c r="AH87" s="81" t="s">
        <v>17</v>
      </c>
      <c r="AI87" s="81" t="s">
        <v>17</v>
      </c>
      <c r="AJ87" s="81" t="s">
        <v>17</v>
      </c>
      <c r="AK87" s="81" t="s">
        <v>17</v>
      </c>
      <c r="AL87" s="81" t="s">
        <v>17</v>
      </c>
      <c r="AM87" s="81" t="s">
        <v>17</v>
      </c>
      <c r="AN87" s="81" t="s">
        <v>17</v>
      </c>
      <c r="AO87" s="81" t="s">
        <v>17</v>
      </c>
      <c r="AP87" s="81" t="s">
        <v>17</v>
      </c>
      <c r="AQ87" s="81" t="s">
        <v>17</v>
      </c>
      <c r="AR87" s="81" t="s">
        <v>17</v>
      </c>
      <c r="AS87" s="81" t="s">
        <v>17</v>
      </c>
      <c r="AT87" s="81" t="s">
        <v>17</v>
      </c>
      <c r="AU87" s="81" t="s">
        <v>17</v>
      </c>
      <c r="AV87" s="81" t="s">
        <v>17</v>
      </c>
      <c r="AW87" s="81" t="s">
        <v>17</v>
      </c>
      <c r="AX87" s="81" t="s">
        <v>17</v>
      </c>
      <c r="AY87" s="81" t="s">
        <v>17</v>
      </c>
      <c r="AZ87" s="81" t="s">
        <v>17</v>
      </c>
      <c r="BA87" s="49"/>
    </row>
    <row r="88" spans="2:53" s="50" customFormat="1" ht="18" hidden="1" customHeight="1">
      <c r="B88" s="85" t="str">
        <f>IF('[1]370 Community Land Assets in or'!B90="","",'[1]370 Community Land Assets in or'!B90)</f>
        <v/>
      </c>
      <c r="C88" s="85" t="str">
        <f>IF('[1]370 Community Land Assets in or'!C91="","",'[1]370 Community Land Assets in or'!C91)</f>
        <v/>
      </c>
      <c r="D88" s="47" t="str">
        <f t="shared" si="3"/>
        <v/>
      </c>
      <c r="E88" s="81" t="str">
        <f>IF('[1]370 Community Land Assets in or'!D91="","",'[1]370 Community Land Assets in or'!D91)</f>
        <v/>
      </c>
      <c r="F88" s="81" t="str">
        <f>IF('[1]370 Community Land Assets in or'!E91="","",'[1]370 Community Land Assets in or'!E91)</f>
        <v/>
      </c>
      <c r="G88" s="81" t="str">
        <f>IF('[1]370 Community Land Assets in or'!F91="","",'[1]370 Community Land Assets in or'!F91)</f>
        <v/>
      </c>
      <c r="H88" s="81" t="str">
        <f>IF('[1]370 Community Land Assets in or'!G91="","",'[1]370 Community Land Assets in or'!G91)</f>
        <v/>
      </c>
      <c r="I88" s="81" t="s">
        <v>17</v>
      </c>
      <c r="J88" s="81" t="s">
        <v>17</v>
      </c>
      <c r="K88" s="81" t="s">
        <v>17</v>
      </c>
      <c r="L88" s="81" t="s">
        <v>17</v>
      </c>
      <c r="M88" s="81" t="s">
        <v>17</v>
      </c>
      <c r="N88" s="81" t="s">
        <v>17</v>
      </c>
      <c r="O88" s="81" t="s">
        <v>17</v>
      </c>
      <c r="P88" s="81" t="s">
        <v>17</v>
      </c>
      <c r="Q88" s="81" t="s">
        <v>17</v>
      </c>
      <c r="R88" s="81" t="s">
        <v>17</v>
      </c>
      <c r="S88" s="81" t="s">
        <v>17</v>
      </c>
      <c r="T88" s="81" t="s">
        <v>17</v>
      </c>
      <c r="U88" s="81" t="s">
        <v>17</v>
      </c>
      <c r="V88" s="81" t="s">
        <v>17</v>
      </c>
      <c r="W88" s="81" t="s">
        <v>17</v>
      </c>
      <c r="X88" s="81" t="s">
        <v>17</v>
      </c>
      <c r="Y88" s="81" t="s">
        <v>17</v>
      </c>
      <c r="Z88" s="81" t="s">
        <v>17</v>
      </c>
      <c r="AA88" s="81" t="s">
        <v>17</v>
      </c>
      <c r="AB88" s="81" t="s">
        <v>17</v>
      </c>
      <c r="AC88" s="81" t="s">
        <v>17</v>
      </c>
      <c r="AD88" s="81" t="s">
        <v>17</v>
      </c>
      <c r="AE88" s="81" t="s">
        <v>17</v>
      </c>
      <c r="AF88" s="81" t="s">
        <v>17</v>
      </c>
      <c r="AG88" s="81" t="s">
        <v>17</v>
      </c>
      <c r="AH88" s="81" t="s">
        <v>17</v>
      </c>
      <c r="AI88" s="81" t="s">
        <v>17</v>
      </c>
      <c r="AJ88" s="81" t="s">
        <v>17</v>
      </c>
      <c r="AK88" s="81" t="s">
        <v>17</v>
      </c>
      <c r="AL88" s="81" t="s">
        <v>17</v>
      </c>
      <c r="AM88" s="81" t="s">
        <v>17</v>
      </c>
      <c r="AN88" s="81" t="s">
        <v>17</v>
      </c>
      <c r="AO88" s="81" t="s">
        <v>17</v>
      </c>
      <c r="AP88" s="81" t="s">
        <v>17</v>
      </c>
      <c r="AQ88" s="81" t="s">
        <v>17</v>
      </c>
      <c r="AR88" s="81" t="s">
        <v>17</v>
      </c>
      <c r="AS88" s="81" t="s">
        <v>17</v>
      </c>
      <c r="AT88" s="81" t="s">
        <v>17</v>
      </c>
      <c r="AU88" s="81" t="s">
        <v>17</v>
      </c>
      <c r="AV88" s="81" t="s">
        <v>17</v>
      </c>
      <c r="AW88" s="81" t="s">
        <v>17</v>
      </c>
      <c r="AX88" s="81" t="s">
        <v>17</v>
      </c>
      <c r="AY88" s="81" t="s">
        <v>17</v>
      </c>
      <c r="AZ88" s="81" t="s">
        <v>17</v>
      </c>
      <c r="BA88" s="49"/>
    </row>
    <row r="89" spans="2:53" s="50" customFormat="1" ht="18" hidden="1" customHeight="1">
      <c r="B89" s="85" t="str">
        <f>IF('[1]370 Community Land Assets in or'!B91="","",'[1]370 Community Land Assets in or'!B91)</f>
        <v/>
      </c>
      <c r="C89" s="85" t="str">
        <f>IF('[1]370 Community Land Assets in or'!C92="","",'[1]370 Community Land Assets in or'!C92)</f>
        <v/>
      </c>
      <c r="D89" s="47" t="str">
        <f t="shared" si="3"/>
        <v/>
      </c>
      <c r="E89" s="81" t="str">
        <f>IF('[1]370 Community Land Assets in or'!D92="","",'[1]370 Community Land Assets in or'!D92)</f>
        <v/>
      </c>
      <c r="F89" s="81" t="str">
        <f>IF('[1]370 Community Land Assets in or'!E92="","",'[1]370 Community Land Assets in or'!E92)</f>
        <v/>
      </c>
      <c r="G89" s="81" t="str">
        <f>IF('[1]370 Community Land Assets in or'!F92="","",'[1]370 Community Land Assets in or'!F92)</f>
        <v/>
      </c>
      <c r="H89" s="81" t="str">
        <f>IF('[1]370 Community Land Assets in or'!G92="","",'[1]370 Community Land Assets in or'!G92)</f>
        <v/>
      </c>
      <c r="I89" s="81" t="s">
        <v>17</v>
      </c>
      <c r="J89" s="81" t="s">
        <v>17</v>
      </c>
      <c r="K89" s="81" t="s">
        <v>17</v>
      </c>
      <c r="L89" s="81" t="s">
        <v>17</v>
      </c>
      <c r="M89" s="81" t="s">
        <v>17</v>
      </c>
      <c r="N89" s="81" t="s">
        <v>17</v>
      </c>
      <c r="O89" s="81" t="s">
        <v>17</v>
      </c>
      <c r="P89" s="81" t="s">
        <v>17</v>
      </c>
      <c r="Q89" s="81" t="s">
        <v>17</v>
      </c>
      <c r="R89" s="81" t="s">
        <v>17</v>
      </c>
      <c r="S89" s="81" t="s">
        <v>17</v>
      </c>
      <c r="T89" s="81" t="s">
        <v>17</v>
      </c>
      <c r="U89" s="81" t="s">
        <v>17</v>
      </c>
      <c r="V89" s="81" t="s">
        <v>17</v>
      </c>
      <c r="W89" s="81" t="s">
        <v>17</v>
      </c>
      <c r="X89" s="81" t="s">
        <v>17</v>
      </c>
      <c r="Y89" s="81" t="s">
        <v>17</v>
      </c>
      <c r="Z89" s="81" t="s">
        <v>17</v>
      </c>
      <c r="AA89" s="81" t="s">
        <v>17</v>
      </c>
      <c r="AB89" s="81" t="s">
        <v>17</v>
      </c>
      <c r="AC89" s="81" t="s">
        <v>17</v>
      </c>
      <c r="AD89" s="81" t="s">
        <v>17</v>
      </c>
      <c r="AE89" s="81" t="s">
        <v>17</v>
      </c>
      <c r="AF89" s="81" t="s">
        <v>17</v>
      </c>
      <c r="AG89" s="81" t="s">
        <v>17</v>
      </c>
      <c r="AH89" s="81" t="s">
        <v>17</v>
      </c>
      <c r="AI89" s="81" t="s">
        <v>17</v>
      </c>
      <c r="AJ89" s="81" t="s">
        <v>17</v>
      </c>
      <c r="AK89" s="81" t="s">
        <v>17</v>
      </c>
      <c r="AL89" s="81" t="s">
        <v>17</v>
      </c>
      <c r="AM89" s="81" t="s">
        <v>17</v>
      </c>
      <c r="AN89" s="81" t="s">
        <v>17</v>
      </c>
      <c r="AO89" s="81" t="s">
        <v>17</v>
      </c>
      <c r="AP89" s="81" t="s">
        <v>17</v>
      </c>
      <c r="AQ89" s="81" t="s">
        <v>17</v>
      </c>
      <c r="AR89" s="81" t="s">
        <v>17</v>
      </c>
      <c r="AS89" s="81" t="s">
        <v>17</v>
      </c>
      <c r="AT89" s="81" t="s">
        <v>17</v>
      </c>
      <c r="AU89" s="81" t="s">
        <v>17</v>
      </c>
      <c r="AV89" s="81" t="s">
        <v>17</v>
      </c>
      <c r="AW89" s="81" t="s">
        <v>17</v>
      </c>
      <c r="AX89" s="81" t="s">
        <v>17</v>
      </c>
      <c r="AY89" s="81" t="s">
        <v>17</v>
      </c>
      <c r="AZ89" s="81" t="s">
        <v>17</v>
      </c>
      <c r="BA89" s="49"/>
    </row>
    <row r="90" spans="2:53" s="50" customFormat="1" ht="18" hidden="1" customHeight="1">
      <c r="B90" s="85" t="str">
        <f>IF('[1]370 Community Land Assets in or'!B92="","",'[1]370 Community Land Assets in or'!B92)</f>
        <v/>
      </c>
      <c r="C90" s="85" t="str">
        <f>IF('[1]370 Community Land Assets in or'!C93="","",'[1]370 Community Land Assets in or'!C93)</f>
        <v/>
      </c>
      <c r="D90" s="47" t="str">
        <f t="shared" si="3"/>
        <v/>
      </c>
      <c r="E90" s="81" t="str">
        <f>IF('[1]370 Community Land Assets in or'!D93="","",'[1]370 Community Land Assets in or'!D93)</f>
        <v/>
      </c>
      <c r="F90" s="81" t="str">
        <f>IF('[1]370 Community Land Assets in or'!E93="","",'[1]370 Community Land Assets in or'!E93)</f>
        <v/>
      </c>
      <c r="G90" s="81" t="str">
        <f>IF('[1]370 Community Land Assets in or'!F93="","",'[1]370 Community Land Assets in or'!F93)</f>
        <v/>
      </c>
      <c r="H90" s="81" t="str">
        <f>IF('[1]370 Community Land Assets in or'!G93="","",'[1]370 Community Land Assets in or'!G93)</f>
        <v/>
      </c>
      <c r="I90" s="81" t="s">
        <v>17</v>
      </c>
      <c r="J90" s="81" t="s">
        <v>17</v>
      </c>
      <c r="K90" s="81" t="s">
        <v>17</v>
      </c>
      <c r="L90" s="81" t="s">
        <v>17</v>
      </c>
      <c r="M90" s="81" t="s">
        <v>17</v>
      </c>
      <c r="N90" s="81" t="s">
        <v>17</v>
      </c>
      <c r="O90" s="81" t="s">
        <v>17</v>
      </c>
      <c r="P90" s="81" t="s">
        <v>17</v>
      </c>
      <c r="Q90" s="81" t="s">
        <v>17</v>
      </c>
      <c r="R90" s="81" t="s">
        <v>17</v>
      </c>
      <c r="S90" s="81" t="s">
        <v>17</v>
      </c>
      <c r="T90" s="81" t="s">
        <v>17</v>
      </c>
      <c r="U90" s="81" t="s">
        <v>17</v>
      </c>
      <c r="V90" s="81" t="s">
        <v>17</v>
      </c>
      <c r="W90" s="81" t="s">
        <v>17</v>
      </c>
      <c r="X90" s="81" t="s">
        <v>17</v>
      </c>
      <c r="Y90" s="81" t="s">
        <v>17</v>
      </c>
      <c r="Z90" s="81" t="s">
        <v>17</v>
      </c>
      <c r="AA90" s="81" t="s">
        <v>17</v>
      </c>
      <c r="AB90" s="81" t="s">
        <v>17</v>
      </c>
      <c r="AC90" s="81" t="s">
        <v>17</v>
      </c>
      <c r="AD90" s="81" t="s">
        <v>17</v>
      </c>
      <c r="AE90" s="81" t="s">
        <v>17</v>
      </c>
      <c r="AF90" s="81" t="s">
        <v>17</v>
      </c>
      <c r="AG90" s="81" t="s">
        <v>17</v>
      </c>
      <c r="AH90" s="81" t="s">
        <v>17</v>
      </c>
      <c r="AI90" s="81" t="s">
        <v>17</v>
      </c>
      <c r="AJ90" s="81" t="s">
        <v>17</v>
      </c>
      <c r="AK90" s="81" t="s">
        <v>17</v>
      </c>
      <c r="AL90" s="81" t="s">
        <v>17</v>
      </c>
      <c r="AM90" s="81" t="s">
        <v>17</v>
      </c>
      <c r="AN90" s="81" t="s">
        <v>17</v>
      </c>
      <c r="AO90" s="81" t="s">
        <v>17</v>
      </c>
      <c r="AP90" s="81" t="s">
        <v>17</v>
      </c>
      <c r="AQ90" s="81" t="s">
        <v>17</v>
      </c>
      <c r="AR90" s="81" t="s">
        <v>17</v>
      </c>
      <c r="AS90" s="81" t="s">
        <v>17</v>
      </c>
      <c r="AT90" s="81" t="s">
        <v>17</v>
      </c>
      <c r="AU90" s="81" t="s">
        <v>17</v>
      </c>
      <c r="AV90" s="81" t="s">
        <v>17</v>
      </c>
      <c r="AW90" s="81" t="s">
        <v>17</v>
      </c>
      <c r="AX90" s="81" t="s">
        <v>17</v>
      </c>
      <c r="AY90" s="81" t="s">
        <v>17</v>
      </c>
      <c r="AZ90" s="81" t="s">
        <v>17</v>
      </c>
      <c r="BA90" s="49"/>
    </row>
    <row r="91" spans="2:53" s="50" customFormat="1" ht="18" hidden="1" customHeight="1">
      <c r="B91" s="85" t="str">
        <f>IF('[1]370 Community Land Assets in or'!B93="","",'[1]370 Community Land Assets in or'!B93)</f>
        <v/>
      </c>
      <c r="C91" s="85" t="str">
        <f>IF('[1]370 Community Land Assets in or'!C94="","",'[1]370 Community Land Assets in or'!C94)</f>
        <v/>
      </c>
      <c r="D91" s="47" t="str">
        <f t="shared" si="3"/>
        <v/>
      </c>
      <c r="E91" s="81" t="str">
        <f>IF('[1]370 Community Land Assets in or'!D94="","",'[1]370 Community Land Assets in or'!D94)</f>
        <v/>
      </c>
      <c r="F91" s="81" t="str">
        <f>IF('[1]370 Community Land Assets in or'!E94="","",'[1]370 Community Land Assets in or'!E94)</f>
        <v/>
      </c>
      <c r="G91" s="81" t="str">
        <f>IF('[1]370 Community Land Assets in or'!F94="","",'[1]370 Community Land Assets in or'!F94)</f>
        <v/>
      </c>
      <c r="H91" s="81" t="str">
        <f>IF('[1]370 Community Land Assets in or'!G94="","",'[1]370 Community Land Assets in or'!G94)</f>
        <v/>
      </c>
      <c r="I91" s="81" t="s">
        <v>17</v>
      </c>
      <c r="J91" s="81" t="s">
        <v>17</v>
      </c>
      <c r="K91" s="81" t="s">
        <v>17</v>
      </c>
      <c r="L91" s="81" t="s">
        <v>17</v>
      </c>
      <c r="M91" s="81" t="s">
        <v>17</v>
      </c>
      <c r="N91" s="81" t="s">
        <v>17</v>
      </c>
      <c r="O91" s="81" t="s">
        <v>17</v>
      </c>
      <c r="P91" s="81" t="s">
        <v>17</v>
      </c>
      <c r="Q91" s="81" t="s">
        <v>17</v>
      </c>
      <c r="R91" s="81" t="s">
        <v>17</v>
      </c>
      <c r="S91" s="81" t="s">
        <v>17</v>
      </c>
      <c r="T91" s="81" t="s">
        <v>17</v>
      </c>
      <c r="U91" s="81" t="s">
        <v>17</v>
      </c>
      <c r="V91" s="81" t="s">
        <v>17</v>
      </c>
      <c r="W91" s="81" t="s">
        <v>17</v>
      </c>
      <c r="X91" s="81" t="s">
        <v>17</v>
      </c>
      <c r="Y91" s="81" t="s">
        <v>17</v>
      </c>
      <c r="Z91" s="81" t="s">
        <v>17</v>
      </c>
      <c r="AA91" s="81" t="s">
        <v>17</v>
      </c>
      <c r="AB91" s="81" t="s">
        <v>17</v>
      </c>
      <c r="AC91" s="81" t="s">
        <v>17</v>
      </c>
      <c r="AD91" s="81" t="s">
        <v>17</v>
      </c>
      <c r="AE91" s="81" t="s">
        <v>17</v>
      </c>
      <c r="AF91" s="81" t="s">
        <v>17</v>
      </c>
      <c r="AG91" s="81" t="s">
        <v>17</v>
      </c>
      <c r="AH91" s="81" t="s">
        <v>17</v>
      </c>
      <c r="AI91" s="81" t="s">
        <v>17</v>
      </c>
      <c r="AJ91" s="81" t="s">
        <v>17</v>
      </c>
      <c r="AK91" s="81" t="s">
        <v>17</v>
      </c>
      <c r="AL91" s="81" t="s">
        <v>17</v>
      </c>
      <c r="AM91" s="81" t="s">
        <v>17</v>
      </c>
      <c r="AN91" s="81" t="s">
        <v>17</v>
      </c>
      <c r="AO91" s="81" t="s">
        <v>17</v>
      </c>
      <c r="AP91" s="81" t="s">
        <v>17</v>
      </c>
      <c r="AQ91" s="81" t="s">
        <v>17</v>
      </c>
      <c r="AR91" s="81" t="s">
        <v>17</v>
      </c>
      <c r="AS91" s="81" t="s">
        <v>17</v>
      </c>
      <c r="AT91" s="81" t="s">
        <v>17</v>
      </c>
      <c r="AU91" s="81" t="s">
        <v>17</v>
      </c>
      <c r="AV91" s="81" t="s">
        <v>17</v>
      </c>
      <c r="AW91" s="81" t="s">
        <v>17</v>
      </c>
      <c r="AX91" s="81" t="s">
        <v>17</v>
      </c>
      <c r="AY91" s="81" t="s">
        <v>17</v>
      </c>
      <c r="AZ91" s="81" t="s">
        <v>17</v>
      </c>
      <c r="BA91" s="49"/>
    </row>
    <row r="92" spans="2:53" s="50" customFormat="1" ht="18" hidden="1" customHeight="1">
      <c r="B92" s="85" t="str">
        <f>IF('[1]370 Community Land Assets in or'!B94="","",'[1]370 Community Land Assets in or'!B94)</f>
        <v/>
      </c>
      <c r="C92" s="85" t="str">
        <f>IF('[1]370 Community Land Assets in or'!C95="","",'[1]370 Community Land Assets in or'!C95)</f>
        <v/>
      </c>
      <c r="D92" s="47" t="str">
        <f t="shared" si="3"/>
        <v/>
      </c>
      <c r="E92" s="81" t="str">
        <f>IF('[1]370 Community Land Assets in or'!D95="","",'[1]370 Community Land Assets in or'!D95)</f>
        <v/>
      </c>
      <c r="F92" s="81" t="str">
        <f>IF('[1]370 Community Land Assets in or'!E95="","",'[1]370 Community Land Assets in or'!E95)</f>
        <v/>
      </c>
      <c r="G92" s="81" t="str">
        <f>IF('[1]370 Community Land Assets in or'!F95="","",'[1]370 Community Land Assets in or'!F95)</f>
        <v/>
      </c>
      <c r="H92" s="81" t="str">
        <f>IF('[1]370 Community Land Assets in or'!G95="","",'[1]370 Community Land Assets in or'!G95)</f>
        <v/>
      </c>
      <c r="I92" s="81" t="s">
        <v>17</v>
      </c>
      <c r="J92" s="81" t="s">
        <v>17</v>
      </c>
      <c r="K92" s="81" t="s">
        <v>17</v>
      </c>
      <c r="L92" s="81" t="s">
        <v>17</v>
      </c>
      <c r="M92" s="81" t="s">
        <v>17</v>
      </c>
      <c r="N92" s="81" t="s">
        <v>17</v>
      </c>
      <c r="O92" s="81" t="s">
        <v>17</v>
      </c>
      <c r="P92" s="81" t="s">
        <v>17</v>
      </c>
      <c r="Q92" s="81" t="s">
        <v>17</v>
      </c>
      <c r="R92" s="81" t="s">
        <v>17</v>
      </c>
      <c r="S92" s="81" t="s">
        <v>17</v>
      </c>
      <c r="T92" s="81" t="s">
        <v>17</v>
      </c>
      <c r="U92" s="81" t="s">
        <v>17</v>
      </c>
      <c r="V92" s="81" t="s">
        <v>17</v>
      </c>
      <c r="W92" s="81" t="s">
        <v>17</v>
      </c>
      <c r="X92" s="81" t="s">
        <v>17</v>
      </c>
      <c r="Y92" s="81" t="s">
        <v>17</v>
      </c>
      <c r="Z92" s="81" t="s">
        <v>17</v>
      </c>
      <c r="AA92" s="81" t="s">
        <v>17</v>
      </c>
      <c r="AB92" s="81" t="s">
        <v>17</v>
      </c>
      <c r="AC92" s="81" t="s">
        <v>17</v>
      </c>
      <c r="AD92" s="81" t="s">
        <v>17</v>
      </c>
      <c r="AE92" s="81" t="s">
        <v>17</v>
      </c>
      <c r="AF92" s="81" t="s">
        <v>17</v>
      </c>
      <c r="AG92" s="81" t="s">
        <v>17</v>
      </c>
      <c r="AH92" s="81" t="s">
        <v>17</v>
      </c>
      <c r="AI92" s="81" t="s">
        <v>17</v>
      </c>
      <c r="AJ92" s="81" t="s">
        <v>17</v>
      </c>
      <c r="AK92" s="81" t="s">
        <v>17</v>
      </c>
      <c r="AL92" s="81" t="s">
        <v>17</v>
      </c>
      <c r="AM92" s="81" t="s">
        <v>17</v>
      </c>
      <c r="AN92" s="81" t="s">
        <v>17</v>
      </c>
      <c r="AO92" s="81" t="s">
        <v>17</v>
      </c>
      <c r="AP92" s="81" t="s">
        <v>17</v>
      </c>
      <c r="AQ92" s="81" t="s">
        <v>17</v>
      </c>
      <c r="AR92" s="81" t="s">
        <v>17</v>
      </c>
      <c r="AS92" s="81" t="s">
        <v>17</v>
      </c>
      <c r="AT92" s="81" t="s">
        <v>17</v>
      </c>
      <c r="AU92" s="81" t="s">
        <v>17</v>
      </c>
      <c r="AV92" s="81" t="s">
        <v>17</v>
      </c>
      <c r="AW92" s="81" t="s">
        <v>17</v>
      </c>
      <c r="AX92" s="81" t="s">
        <v>17</v>
      </c>
      <c r="AY92" s="81" t="s">
        <v>17</v>
      </c>
      <c r="AZ92" s="81" t="s">
        <v>17</v>
      </c>
      <c r="BA92" s="49"/>
    </row>
    <row r="93" spans="2:53" s="50" customFormat="1" ht="18" hidden="1" customHeight="1">
      <c r="B93" s="85" t="str">
        <f>IF('[1]370 Community Land Assets in or'!B95="","",'[1]370 Community Land Assets in or'!B95)</f>
        <v/>
      </c>
      <c r="C93" s="85" t="str">
        <f>IF('[1]370 Community Land Assets in or'!C96="","",'[1]370 Community Land Assets in or'!C96)</f>
        <v/>
      </c>
      <c r="D93" s="47" t="str">
        <f t="shared" si="3"/>
        <v/>
      </c>
      <c r="E93" s="81" t="str">
        <f>IF('[1]370 Community Land Assets in or'!D96="","",'[1]370 Community Land Assets in or'!D96)</f>
        <v/>
      </c>
      <c r="F93" s="81" t="str">
        <f>IF('[1]370 Community Land Assets in or'!E96="","",'[1]370 Community Land Assets in or'!E96)</f>
        <v/>
      </c>
      <c r="G93" s="81" t="str">
        <f>IF('[1]370 Community Land Assets in or'!F96="","",'[1]370 Community Land Assets in or'!F96)</f>
        <v/>
      </c>
      <c r="H93" s="81" t="str">
        <f>IF('[1]370 Community Land Assets in or'!G96="","",'[1]370 Community Land Assets in or'!G96)</f>
        <v/>
      </c>
      <c r="I93" s="81" t="s">
        <v>17</v>
      </c>
      <c r="J93" s="81" t="s">
        <v>17</v>
      </c>
      <c r="K93" s="81" t="s">
        <v>17</v>
      </c>
      <c r="L93" s="81" t="s">
        <v>17</v>
      </c>
      <c r="M93" s="81" t="s">
        <v>17</v>
      </c>
      <c r="N93" s="81" t="s">
        <v>17</v>
      </c>
      <c r="O93" s="81" t="s">
        <v>17</v>
      </c>
      <c r="P93" s="81" t="s">
        <v>17</v>
      </c>
      <c r="Q93" s="81" t="s">
        <v>17</v>
      </c>
      <c r="R93" s="81" t="s">
        <v>17</v>
      </c>
      <c r="S93" s="81" t="s">
        <v>17</v>
      </c>
      <c r="T93" s="81" t="s">
        <v>17</v>
      </c>
      <c r="U93" s="81" t="s">
        <v>17</v>
      </c>
      <c r="V93" s="81" t="s">
        <v>17</v>
      </c>
      <c r="W93" s="81" t="s">
        <v>17</v>
      </c>
      <c r="X93" s="81" t="s">
        <v>17</v>
      </c>
      <c r="Y93" s="81" t="s">
        <v>17</v>
      </c>
      <c r="Z93" s="81" t="s">
        <v>17</v>
      </c>
      <c r="AA93" s="81" t="s">
        <v>17</v>
      </c>
      <c r="AB93" s="81" t="s">
        <v>17</v>
      </c>
      <c r="AC93" s="81" t="s">
        <v>17</v>
      </c>
      <c r="AD93" s="81" t="s">
        <v>17</v>
      </c>
      <c r="AE93" s="81" t="s">
        <v>17</v>
      </c>
      <c r="AF93" s="81" t="s">
        <v>17</v>
      </c>
      <c r="AG93" s="81" t="s">
        <v>17</v>
      </c>
      <c r="AH93" s="81" t="s">
        <v>17</v>
      </c>
      <c r="AI93" s="81" t="s">
        <v>17</v>
      </c>
      <c r="AJ93" s="81" t="s">
        <v>17</v>
      </c>
      <c r="AK93" s="81" t="s">
        <v>17</v>
      </c>
      <c r="AL93" s="81" t="s">
        <v>17</v>
      </c>
      <c r="AM93" s="81" t="s">
        <v>17</v>
      </c>
      <c r="AN93" s="81" t="s">
        <v>17</v>
      </c>
      <c r="AO93" s="81" t="s">
        <v>17</v>
      </c>
      <c r="AP93" s="81" t="s">
        <v>17</v>
      </c>
      <c r="AQ93" s="81" t="s">
        <v>17</v>
      </c>
      <c r="AR93" s="81" t="s">
        <v>17</v>
      </c>
      <c r="AS93" s="81" t="s">
        <v>17</v>
      </c>
      <c r="AT93" s="81" t="s">
        <v>17</v>
      </c>
      <c r="AU93" s="81" t="s">
        <v>17</v>
      </c>
      <c r="AV93" s="81" t="s">
        <v>17</v>
      </c>
      <c r="AW93" s="81" t="s">
        <v>17</v>
      </c>
      <c r="AX93" s="81" t="s">
        <v>17</v>
      </c>
      <c r="AY93" s="81" t="s">
        <v>17</v>
      </c>
      <c r="AZ93" s="81" t="s">
        <v>17</v>
      </c>
      <c r="BA93" s="49"/>
    </row>
    <row r="94" spans="2:53" s="50" customFormat="1" ht="18" hidden="1" customHeight="1">
      <c r="B94" s="85" t="str">
        <f>IF('[1]370 Community Land Assets in or'!B96="","",'[1]370 Community Land Assets in or'!B96)</f>
        <v/>
      </c>
      <c r="C94" s="85" t="str">
        <f>IF('[1]370 Community Land Assets in or'!C97="","",'[1]370 Community Land Assets in or'!C97)</f>
        <v/>
      </c>
      <c r="D94" s="47" t="str">
        <f t="shared" si="3"/>
        <v/>
      </c>
      <c r="E94" s="81" t="str">
        <f>IF('[1]370 Community Land Assets in or'!D97="","",'[1]370 Community Land Assets in or'!D97)</f>
        <v/>
      </c>
      <c r="F94" s="81" t="str">
        <f>IF('[1]370 Community Land Assets in or'!E97="","",'[1]370 Community Land Assets in or'!E97)</f>
        <v/>
      </c>
      <c r="G94" s="81" t="str">
        <f>IF('[1]370 Community Land Assets in or'!F97="","",'[1]370 Community Land Assets in or'!F97)</f>
        <v/>
      </c>
      <c r="H94" s="81" t="str">
        <f>IF('[1]370 Community Land Assets in or'!G97="","",'[1]370 Community Land Assets in or'!G97)</f>
        <v/>
      </c>
      <c r="I94" s="81" t="s">
        <v>17</v>
      </c>
      <c r="J94" s="81" t="s">
        <v>17</v>
      </c>
      <c r="K94" s="81" t="s">
        <v>17</v>
      </c>
      <c r="L94" s="81" t="s">
        <v>17</v>
      </c>
      <c r="M94" s="81" t="s">
        <v>17</v>
      </c>
      <c r="N94" s="81" t="s">
        <v>17</v>
      </c>
      <c r="O94" s="81" t="s">
        <v>17</v>
      </c>
      <c r="P94" s="81" t="s">
        <v>17</v>
      </c>
      <c r="Q94" s="81" t="s">
        <v>17</v>
      </c>
      <c r="R94" s="81" t="s">
        <v>17</v>
      </c>
      <c r="S94" s="81" t="s">
        <v>17</v>
      </c>
      <c r="T94" s="81" t="s">
        <v>17</v>
      </c>
      <c r="U94" s="81" t="s">
        <v>17</v>
      </c>
      <c r="V94" s="81" t="s">
        <v>17</v>
      </c>
      <c r="W94" s="81" t="s">
        <v>17</v>
      </c>
      <c r="X94" s="81" t="s">
        <v>17</v>
      </c>
      <c r="Y94" s="81" t="s">
        <v>17</v>
      </c>
      <c r="Z94" s="81" t="s">
        <v>17</v>
      </c>
      <c r="AA94" s="81" t="s">
        <v>17</v>
      </c>
      <c r="AB94" s="81" t="s">
        <v>17</v>
      </c>
      <c r="AC94" s="81" t="s">
        <v>17</v>
      </c>
      <c r="AD94" s="81" t="s">
        <v>17</v>
      </c>
      <c r="AE94" s="81" t="s">
        <v>17</v>
      </c>
      <c r="AF94" s="81" t="s">
        <v>17</v>
      </c>
      <c r="AG94" s="81" t="s">
        <v>17</v>
      </c>
      <c r="AH94" s="81" t="s">
        <v>17</v>
      </c>
      <c r="AI94" s="81" t="s">
        <v>17</v>
      </c>
      <c r="AJ94" s="81" t="s">
        <v>17</v>
      </c>
      <c r="AK94" s="81" t="s">
        <v>17</v>
      </c>
      <c r="AL94" s="81" t="s">
        <v>17</v>
      </c>
      <c r="AM94" s="81" t="s">
        <v>17</v>
      </c>
      <c r="AN94" s="81" t="s">
        <v>17</v>
      </c>
      <c r="AO94" s="81" t="s">
        <v>17</v>
      </c>
      <c r="AP94" s="81" t="s">
        <v>17</v>
      </c>
      <c r="AQ94" s="81" t="s">
        <v>17</v>
      </c>
      <c r="AR94" s="81" t="s">
        <v>17</v>
      </c>
      <c r="AS94" s="81" t="s">
        <v>17</v>
      </c>
      <c r="AT94" s="81" t="s">
        <v>17</v>
      </c>
      <c r="AU94" s="81" t="s">
        <v>17</v>
      </c>
      <c r="AV94" s="81" t="s">
        <v>17</v>
      </c>
      <c r="AW94" s="81" t="s">
        <v>17</v>
      </c>
      <c r="AX94" s="81" t="s">
        <v>17</v>
      </c>
      <c r="AY94" s="81" t="s">
        <v>17</v>
      </c>
      <c r="AZ94" s="81" t="s">
        <v>17</v>
      </c>
      <c r="BA94" s="49"/>
    </row>
    <row r="95" spans="2:53" s="50" customFormat="1" ht="18" hidden="1" customHeight="1">
      <c r="B95" s="85" t="str">
        <f>IF('[1]370 Community Land Assets in or'!B97="","",'[1]370 Community Land Assets in or'!B97)</f>
        <v/>
      </c>
      <c r="C95" s="85" t="str">
        <f>IF('[1]370 Community Land Assets in or'!C98="","",'[1]370 Community Land Assets in or'!C98)</f>
        <v/>
      </c>
      <c r="D95" s="47" t="str">
        <f t="shared" si="3"/>
        <v/>
      </c>
      <c r="E95" s="81" t="str">
        <f>IF('[1]370 Community Land Assets in or'!D98="","",'[1]370 Community Land Assets in or'!D98)</f>
        <v/>
      </c>
      <c r="F95" s="81" t="str">
        <f>IF('[1]370 Community Land Assets in or'!E98="","",'[1]370 Community Land Assets in or'!E98)</f>
        <v/>
      </c>
      <c r="G95" s="81" t="str">
        <f>IF('[1]370 Community Land Assets in or'!F98="","",'[1]370 Community Land Assets in or'!F98)</f>
        <v/>
      </c>
      <c r="H95" s="81" t="str">
        <f>IF('[1]370 Community Land Assets in or'!G98="","",'[1]370 Community Land Assets in or'!G98)</f>
        <v/>
      </c>
      <c r="I95" s="81" t="s">
        <v>17</v>
      </c>
      <c r="J95" s="81" t="s">
        <v>17</v>
      </c>
      <c r="K95" s="81" t="s">
        <v>17</v>
      </c>
      <c r="L95" s="81" t="s">
        <v>17</v>
      </c>
      <c r="M95" s="81" t="s">
        <v>17</v>
      </c>
      <c r="N95" s="81" t="s">
        <v>17</v>
      </c>
      <c r="O95" s="81" t="s">
        <v>17</v>
      </c>
      <c r="P95" s="81" t="s">
        <v>17</v>
      </c>
      <c r="Q95" s="81" t="s">
        <v>17</v>
      </c>
      <c r="R95" s="81" t="s">
        <v>17</v>
      </c>
      <c r="S95" s="81" t="s">
        <v>17</v>
      </c>
      <c r="T95" s="81" t="s">
        <v>17</v>
      </c>
      <c r="U95" s="81" t="s">
        <v>17</v>
      </c>
      <c r="V95" s="81" t="s">
        <v>17</v>
      </c>
      <c r="W95" s="81" t="s">
        <v>17</v>
      </c>
      <c r="X95" s="81" t="s">
        <v>17</v>
      </c>
      <c r="Y95" s="81" t="s">
        <v>17</v>
      </c>
      <c r="Z95" s="81" t="s">
        <v>17</v>
      </c>
      <c r="AA95" s="81" t="s">
        <v>17</v>
      </c>
      <c r="AB95" s="81" t="s">
        <v>17</v>
      </c>
      <c r="AC95" s="81" t="s">
        <v>17</v>
      </c>
      <c r="AD95" s="81" t="s">
        <v>17</v>
      </c>
      <c r="AE95" s="81" t="s">
        <v>17</v>
      </c>
      <c r="AF95" s="81" t="s">
        <v>17</v>
      </c>
      <c r="AG95" s="81" t="s">
        <v>17</v>
      </c>
      <c r="AH95" s="81" t="s">
        <v>17</v>
      </c>
      <c r="AI95" s="81" t="s">
        <v>17</v>
      </c>
      <c r="AJ95" s="81" t="s">
        <v>17</v>
      </c>
      <c r="AK95" s="81" t="s">
        <v>17</v>
      </c>
      <c r="AL95" s="81" t="s">
        <v>17</v>
      </c>
      <c r="AM95" s="81" t="s">
        <v>17</v>
      </c>
      <c r="AN95" s="81" t="s">
        <v>17</v>
      </c>
      <c r="AO95" s="81" t="s">
        <v>17</v>
      </c>
      <c r="AP95" s="81" t="s">
        <v>17</v>
      </c>
      <c r="AQ95" s="81" t="s">
        <v>17</v>
      </c>
      <c r="AR95" s="81" t="s">
        <v>17</v>
      </c>
      <c r="AS95" s="81" t="s">
        <v>17</v>
      </c>
      <c r="AT95" s="81" t="s">
        <v>17</v>
      </c>
      <c r="AU95" s="81" t="s">
        <v>17</v>
      </c>
      <c r="AV95" s="81" t="s">
        <v>17</v>
      </c>
      <c r="AW95" s="81" t="s">
        <v>17</v>
      </c>
      <c r="AX95" s="81" t="s">
        <v>17</v>
      </c>
      <c r="AY95" s="81" t="s">
        <v>17</v>
      </c>
      <c r="AZ95" s="81" t="s">
        <v>17</v>
      </c>
      <c r="BA95" s="49"/>
    </row>
    <row r="96" spans="2:53" s="50" customFormat="1" ht="18" hidden="1" customHeight="1">
      <c r="B96" s="85" t="str">
        <f>IF('[1]370 Community Land Assets in or'!B98="","",'[1]370 Community Land Assets in or'!B98)</f>
        <v/>
      </c>
      <c r="C96" s="85" t="str">
        <f>IF('[1]370 Community Land Assets in or'!C99="","",'[1]370 Community Land Assets in or'!C99)</f>
        <v/>
      </c>
      <c r="D96" s="47" t="str">
        <f t="shared" si="3"/>
        <v/>
      </c>
      <c r="E96" s="81" t="str">
        <f>IF('[1]370 Community Land Assets in or'!D99="","",'[1]370 Community Land Assets in or'!D99)</f>
        <v/>
      </c>
      <c r="F96" s="81" t="str">
        <f>IF('[1]370 Community Land Assets in or'!E99="","",'[1]370 Community Land Assets in or'!E99)</f>
        <v/>
      </c>
      <c r="G96" s="81" t="str">
        <f>IF('[1]370 Community Land Assets in or'!F99="","",'[1]370 Community Land Assets in or'!F99)</f>
        <v/>
      </c>
      <c r="H96" s="81" t="str">
        <f>IF('[1]370 Community Land Assets in or'!G99="","",'[1]370 Community Land Assets in or'!G99)</f>
        <v/>
      </c>
      <c r="I96" s="81" t="s">
        <v>17</v>
      </c>
      <c r="J96" s="81" t="s">
        <v>17</v>
      </c>
      <c r="K96" s="81" t="s">
        <v>17</v>
      </c>
      <c r="L96" s="81" t="s">
        <v>17</v>
      </c>
      <c r="M96" s="81" t="s">
        <v>17</v>
      </c>
      <c r="N96" s="81" t="s">
        <v>17</v>
      </c>
      <c r="O96" s="81" t="s">
        <v>17</v>
      </c>
      <c r="P96" s="81" t="s">
        <v>17</v>
      </c>
      <c r="Q96" s="81" t="s">
        <v>17</v>
      </c>
      <c r="R96" s="81" t="s">
        <v>17</v>
      </c>
      <c r="S96" s="81" t="s">
        <v>17</v>
      </c>
      <c r="T96" s="81" t="s">
        <v>17</v>
      </c>
      <c r="U96" s="81" t="s">
        <v>17</v>
      </c>
      <c r="V96" s="81" t="s">
        <v>17</v>
      </c>
      <c r="W96" s="81" t="s">
        <v>17</v>
      </c>
      <c r="X96" s="81" t="s">
        <v>17</v>
      </c>
      <c r="Y96" s="81" t="s">
        <v>17</v>
      </c>
      <c r="Z96" s="81" t="s">
        <v>17</v>
      </c>
      <c r="AA96" s="81" t="s">
        <v>17</v>
      </c>
      <c r="AB96" s="81" t="s">
        <v>17</v>
      </c>
      <c r="AC96" s="81" t="s">
        <v>17</v>
      </c>
      <c r="AD96" s="81" t="s">
        <v>17</v>
      </c>
      <c r="AE96" s="81" t="s">
        <v>17</v>
      </c>
      <c r="AF96" s="81" t="s">
        <v>17</v>
      </c>
      <c r="AG96" s="81" t="s">
        <v>17</v>
      </c>
      <c r="AH96" s="81" t="s">
        <v>17</v>
      </c>
      <c r="AI96" s="81" t="s">
        <v>17</v>
      </c>
      <c r="AJ96" s="81" t="s">
        <v>17</v>
      </c>
      <c r="AK96" s="81" t="s">
        <v>17</v>
      </c>
      <c r="AL96" s="81" t="s">
        <v>17</v>
      </c>
      <c r="AM96" s="81" t="s">
        <v>17</v>
      </c>
      <c r="AN96" s="81" t="s">
        <v>17</v>
      </c>
      <c r="AO96" s="81" t="s">
        <v>17</v>
      </c>
      <c r="AP96" s="81" t="s">
        <v>17</v>
      </c>
      <c r="AQ96" s="81" t="s">
        <v>17</v>
      </c>
      <c r="AR96" s="81" t="s">
        <v>17</v>
      </c>
      <c r="AS96" s="81" t="s">
        <v>17</v>
      </c>
      <c r="AT96" s="81" t="s">
        <v>17</v>
      </c>
      <c r="AU96" s="81" t="s">
        <v>17</v>
      </c>
      <c r="AV96" s="81" t="s">
        <v>17</v>
      </c>
      <c r="AW96" s="81" t="s">
        <v>17</v>
      </c>
      <c r="AX96" s="81" t="s">
        <v>17</v>
      </c>
      <c r="AY96" s="81" t="s">
        <v>17</v>
      </c>
      <c r="AZ96" s="81" t="s">
        <v>17</v>
      </c>
      <c r="BA96" s="49"/>
    </row>
    <row r="97" spans="1:53" s="50" customFormat="1" ht="18" hidden="1" customHeight="1">
      <c r="B97" s="85" t="str">
        <f>IF('[1]370 Community Land Assets in or'!B99="","",'[1]370 Community Land Assets in or'!B99)</f>
        <v/>
      </c>
      <c r="C97" s="85" t="str">
        <f>IF('[1]370 Community Land Assets in or'!C100="","",'[1]370 Community Land Assets in or'!C100)</f>
        <v/>
      </c>
      <c r="D97" s="47" t="str">
        <f t="shared" si="3"/>
        <v/>
      </c>
      <c r="E97" s="81" t="str">
        <f>IF('[1]370 Community Land Assets in or'!D100="","",'[1]370 Community Land Assets in or'!D100)</f>
        <v/>
      </c>
      <c r="F97" s="81" t="str">
        <f>IF('[1]370 Community Land Assets in or'!E100="","",'[1]370 Community Land Assets in or'!E100)</f>
        <v/>
      </c>
      <c r="G97" s="81" t="str">
        <f>IF('[1]370 Community Land Assets in or'!F100="","",'[1]370 Community Land Assets in or'!F100)</f>
        <v/>
      </c>
      <c r="H97" s="81" t="str">
        <f>IF('[1]370 Community Land Assets in or'!G100="","",'[1]370 Community Land Assets in or'!G100)</f>
        <v/>
      </c>
      <c r="I97" s="81" t="s">
        <v>17</v>
      </c>
      <c r="J97" s="81" t="s">
        <v>17</v>
      </c>
      <c r="K97" s="81" t="s">
        <v>17</v>
      </c>
      <c r="L97" s="81" t="s">
        <v>17</v>
      </c>
      <c r="M97" s="81" t="s">
        <v>17</v>
      </c>
      <c r="N97" s="81" t="s">
        <v>17</v>
      </c>
      <c r="O97" s="81" t="s">
        <v>17</v>
      </c>
      <c r="P97" s="81" t="s">
        <v>17</v>
      </c>
      <c r="Q97" s="81" t="s">
        <v>17</v>
      </c>
      <c r="R97" s="81" t="s">
        <v>17</v>
      </c>
      <c r="S97" s="81" t="s">
        <v>17</v>
      </c>
      <c r="T97" s="81" t="s">
        <v>17</v>
      </c>
      <c r="U97" s="81" t="s">
        <v>17</v>
      </c>
      <c r="V97" s="81" t="s">
        <v>17</v>
      </c>
      <c r="W97" s="81" t="s">
        <v>17</v>
      </c>
      <c r="X97" s="81" t="s">
        <v>17</v>
      </c>
      <c r="Y97" s="81" t="s">
        <v>17</v>
      </c>
      <c r="Z97" s="81" t="s">
        <v>17</v>
      </c>
      <c r="AA97" s="81" t="s">
        <v>17</v>
      </c>
      <c r="AB97" s="81" t="s">
        <v>17</v>
      </c>
      <c r="AC97" s="81" t="s">
        <v>17</v>
      </c>
      <c r="AD97" s="81" t="s">
        <v>17</v>
      </c>
      <c r="AE97" s="81" t="s">
        <v>17</v>
      </c>
      <c r="AF97" s="81" t="s">
        <v>17</v>
      </c>
      <c r="AG97" s="81" t="s">
        <v>17</v>
      </c>
      <c r="AH97" s="81" t="s">
        <v>17</v>
      </c>
      <c r="AI97" s="81" t="s">
        <v>17</v>
      </c>
      <c r="AJ97" s="81" t="s">
        <v>17</v>
      </c>
      <c r="AK97" s="81" t="s">
        <v>17</v>
      </c>
      <c r="AL97" s="81" t="s">
        <v>17</v>
      </c>
      <c r="AM97" s="81" t="s">
        <v>17</v>
      </c>
      <c r="AN97" s="81" t="s">
        <v>17</v>
      </c>
      <c r="AO97" s="81" t="s">
        <v>17</v>
      </c>
      <c r="AP97" s="81" t="s">
        <v>17</v>
      </c>
      <c r="AQ97" s="81" t="s">
        <v>17</v>
      </c>
      <c r="AR97" s="81" t="s">
        <v>17</v>
      </c>
      <c r="AS97" s="81" t="s">
        <v>17</v>
      </c>
      <c r="AT97" s="81" t="s">
        <v>17</v>
      </c>
      <c r="AU97" s="81" t="s">
        <v>17</v>
      </c>
      <c r="AV97" s="81" t="s">
        <v>17</v>
      </c>
      <c r="AW97" s="81" t="s">
        <v>17</v>
      </c>
      <c r="AX97" s="81" t="s">
        <v>17</v>
      </c>
      <c r="AY97" s="81" t="s">
        <v>17</v>
      </c>
      <c r="AZ97" s="81" t="s">
        <v>17</v>
      </c>
      <c r="BA97" s="49"/>
    </row>
    <row r="98" spans="1:53" s="50" customFormat="1" ht="18" hidden="1" customHeight="1">
      <c r="B98" s="85" t="str">
        <f>IF('[1]370 Community Land Assets in or'!B100="","",'[1]370 Community Land Assets in or'!B100)</f>
        <v/>
      </c>
      <c r="C98" s="85" t="str">
        <f>IF('[1]370 Community Land Assets in or'!C101="","",'[1]370 Community Land Assets in or'!C101)</f>
        <v/>
      </c>
      <c r="D98" s="47" t="str">
        <f t="shared" si="3"/>
        <v/>
      </c>
      <c r="E98" s="81" t="str">
        <f>IF('[1]370 Community Land Assets in or'!D101="","",'[1]370 Community Land Assets in or'!D101)</f>
        <v/>
      </c>
      <c r="F98" s="81" t="str">
        <f>IF('[1]370 Community Land Assets in or'!E101="","",'[1]370 Community Land Assets in or'!E101)</f>
        <v/>
      </c>
      <c r="G98" s="81" t="str">
        <f>IF('[1]370 Community Land Assets in or'!F101="","",'[1]370 Community Land Assets in or'!F101)</f>
        <v/>
      </c>
      <c r="H98" s="81" t="str">
        <f>IF('[1]370 Community Land Assets in or'!G101="","",'[1]370 Community Land Assets in or'!G101)</f>
        <v/>
      </c>
      <c r="I98" s="81" t="s">
        <v>17</v>
      </c>
      <c r="J98" s="81" t="s">
        <v>17</v>
      </c>
      <c r="K98" s="81" t="s">
        <v>17</v>
      </c>
      <c r="L98" s="81" t="s">
        <v>17</v>
      </c>
      <c r="M98" s="81" t="s">
        <v>17</v>
      </c>
      <c r="N98" s="81" t="s">
        <v>17</v>
      </c>
      <c r="O98" s="81" t="s">
        <v>17</v>
      </c>
      <c r="P98" s="81" t="s">
        <v>17</v>
      </c>
      <c r="Q98" s="81" t="s">
        <v>17</v>
      </c>
      <c r="R98" s="81" t="s">
        <v>17</v>
      </c>
      <c r="S98" s="81" t="s">
        <v>17</v>
      </c>
      <c r="T98" s="81" t="s">
        <v>17</v>
      </c>
      <c r="U98" s="81" t="s">
        <v>17</v>
      </c>
      <c r="V98" s="81" t="s">
        <v>17</v>
      </c>
      <c r="W98" s="81" t="s">
        <v>17</v>
      </c>
      <c r="X98" s="81" t="s">
        <v>17</v>
      </c>
      <c r="Y98" s="81" t="s">
        <v>17</v>
      </c>
      <c r="Z98" s="81" t="s">
        <v>17</v>
      </c>
      <c r="AA98" s="81" t="s">
        <v>17</v>
      </c>
      <c r="AB98" s="81" t="s">
        <v>17</v>
      </c>
      <c r="AC98" s="81" t="s">
        <v>17</v>
      </c>
      <c r="AD98" s="81" t="s">
        <v>17</v>
      </c>
      <c r="AE98" s="81" t="s">
        <v>17</v>
      </c>
      <c r="AF98" s="81" t="s">
        <v>17</v>
      </c>
      <c r="AG98" s="81" t="s">
        <v>17</v>
      </c>
      <c r="AH98" s="81" t="s">
        <v>17</v>
      </c>
      <c r="AI98" s="81" t="s">
        <v>17</v>
      </c>
      <c r="AJ98" s="81" t="s">
        <v>17</v>
      </c>
      <c r="AK98" s="81" t="s">
        <v>17</v>
      </c>
      <c r="AL98" s="81" t="s">
        <v>17</v>
      </c>
      <c r="AM98" s="81" t="s">
        <v>17</v>
      </c>
      <c r="AN98" s="81" t="s">
        <v>17</v>
      </c>
      <c r="AO98" s="81" t="s">
        <v>17</v>
      </c>
      <c r="AP98" s="81" t="s">
        <v>17</v>
      </c>
      <c r="AQ98" s="81" t="s">
        <v>17</v>
      </c>
      <c r="AR98" s="81" t="s">
        <v>17</v>
      </c>
      <c r="AS98" s="81" t="s">
        <v>17</v>
      </c>
      <c r="AT98" s="81" t="s">
        <v>17</v>
      </c>
      <c r="AU98" s="81" t="s">
        <v>17</v>
      </c>
      <c r="AV98" s="81" t="s">
        <v>17</v>
      </c>
      <c r="AW98" s="81" t="s">
        <v>17</v>
      </c>
      <c r="AX98" s="81" t="s">
        <v>17</v>
      </c>
      <c r="AY98" s="81" t="s">
        <v>17</v>
      </c>
      <c r="AZ98" s="81" t="s">
        <v>17</v>
      </c>
      <c r="BA98" s="49"/>
    </row>
    <row r="99" spans="1:53" s="50" customFormat="1" ht="18" hidden="1" customHeight="1">
      <c r="B99" s="85" t="str">
        <f>IF('[1]370 Community Land Assets in or'!B101="","",'[1]370 Community Land Assets in or'!B101)</f>
        <v/>
      </c>
      <c r="C99" s="85" t="str">
        <f>IF('[1]370 Community Land Assets in or'!C102="","",'[1]370 Community Land Assets in or'!C102)</f>
        <v/>
      </c>
      <c r="D99" s="47" t="str">
        <f t="shared" si="3"/>
        <v/>
      </c>
      <c r="E99" s="81" t="str">
        <f>IF('[1]370 Community Land Assets in or'!D102="","",'[1]370 Community Land Assets in or'!D102)</f>
        <v/>
      </c>
      <c r="F99" s="81" t="str">
        <f>IF('[1]370 Community Land Assets in or'!E102="","",'[1]370 Community Land Assets in or'!E102)</f>
        <v/>
      </c>
      <c r="G99" s="81" t="str">
        <f>IF('[1]370 Community Land Assets in or'!F102="","",'[1]370 Community Land Assets in or'!F102)</f>
        <v/>
      </c>
      <c r="H99" s="81" t="str">
        <f>IF('[1]370 Community Land Assets in or'!G102="","",'[1]370 Community Land Assets in or'!G102)</f>
        <v/>
      </c>
      <c r="I99" s="81" t="s">
        <v>17</v>
      </c>
      <c r="J99" s="81" t="s">
        <v>17</v>
      </c>
      <c r="K99" s="81" t="s">
        <v>17</v>
      </c>
      <c r="L99" s="81" t="s">
        <v>17</v>
      </c>
      <c r="M99" s="81" t="s">
        <v>17</v>
      </c>
      <c r="N99" s="81" t="s">
        <v>17</v>
      </c>
      <c r="O99" s="81" t="s">
        <v>17</v>
      </c>
      <c r="P99" s="81" t="s">
        <v>17</v>
      </c>
      <c r="Q99" s="81" t="s">
        <v>17</v>
      </c>
      <c r="R99" s="81" t="s">
        <v>17</v>
      </c>
      <c r="S99" s="81" t="s">
        <v>17</v>
      </c>
      <c r="T99" s="81" t="s">
        <v>17</v>
      </c>
      <c r="U99" s="81" t="s">
        <v>17</v>
      </c>
      <c r="V99" s="81" t="s">
        <v>17</v>
      </c>
      <c r="W99" s="81" t="s">
        <v>17</v>
      </c>
      <c r="X99" s="81" t="s">
        <v>17</v>
      </c>
      <c r="Y99" s="81" t="s">
        <v>17</v>
      </c>
      <c r="Z99" s="81" t="s">
        <v>17</v>
      </c>
      <c r="AA99" s="81" t="s">
        <v>17</v>
      </c>
      <c r="AB99" s="81" t="s">
        <v>17</v>
      </c>
      <c r="AC99" s="81" t="s">
        <v>17</v>
      </c>
      <c r="AD99" s="81" t="s">
        <v>17</v>
      </c>
      <c r="AE99" s="81" t="s">
        <v>17</v>
      </c>
      <c r="AF99" s="81" t="s">
        <v>17</v>
      </c>
      <c r="AG99" s="81" t="s">
        <v>17</v>
      </c>
      <c r="AH99" s="81" t="s">
        <v>17</v>
      </c>
      <c r="AI99" s="81" t="s">
        <v>17</v>
      </c>
      <c r="AJ99" s="81" t="s">
        <v>17</v>
      </c>
      <c r="AK99" s="81" t="s">
        <v>17</v>
      </c>
      <c r="AL99" s="81" t="s">
        <v>17</v>
      </c>
      <c r="AM99" s="81" t="s">
        <v>17</v>
      </c>
      <c r="AN99" s="81" t="s">
        <v>17</v>
      </c>
      <c r="AO99" s="81" t="s">
        <v>17</v>
      </c>
      <c r="AP99" s="81" t="s">
        <v>17</v>
      </c>
      <c r="AQ99" s="81" t="s">
        <v>17</v>
      </c>
      <c r="AR99" s="81" t="s">
        <v>17</v>
      </c>
      <c r="AS99" s="81" t="s">
        <v>17</v>
      </c>
      <c r="AT99" s="81" t="s">
        <v>17</v>
      </c>
      <c r="AU99" s="81" t="s">
        <v>17</v>
      </c>
      <c r="AV99" s="81" t="s">
        <v>17</v>
      </c>
      <c r="AW99" s="81" t="s">
        <v>17</v>
      </c>
      <c r="AX99" s="81" t="s">
        <v>17</v>
      </c>
      <c r="AY99" s="81" t="s">
        <v>17</v>
      </c>
      <c r="AZ99" s="81" t="s">
        <v>17</v>
      </c>
      <c r="BA99" s="49"/>
    </row>
    <row r="100" spans="1:53" s="2" customFormat="1" ht="18" hidden="1" customHeight="1">
      <c r="A100" s="53"/>
      <c r="B100" s="43"/>
      <c r="C100" s="43"/>
      <c r="D100" s="43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</row>
    <row r="101" spans="1:53" s="2" customFormat="1" ht="18" customHeight="1">
      <c r="A101" s="53"/>
      <c r="B101" s="43"/>
      <c r="C101" s="43"/>
      <c r="D101" s="43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</row>
    <row r="102" spans="1:53" s="2" customFormat="1" ht="18" customHeight="1">
      <c r="A102" s="53"/>
      <c r="B102" s="43"/>
      <c r="C102" s="43"/>
      <c r="D102" s="43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</row>
    <row r="103" spans="1:53" s="2" customFormat="1" ht="17" customHeight="1">
      <c r="A103" s="53"/>
      <c r="B103" s="43"/>
      <c r="C103" s="43"/>
      <c r="D103" s="43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</row>
    <row r="104" spans="1:53" s="2" customFormat="1" ht="17" customHeight="1">
      <c r="A104" s="53"/>
      <c r="B104" s="43"/>
      <c r="C104" s="43"/>
      <c r="D104" s="43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</row>
    <row r="105" spans="1:53" s="2" customFormat="1" ht="17" customHeight="1">
      <c r="A105" s="53"/>
      <c r="B105" s="43"/>
      <c r="C105" s="43"/>
      <c r="D105" s="43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</row>
    <row r="106" spans="1:53" s="2" customFormat="1" ht="17" customHeight="1">
      <c r="A106" s="53"/>
      <c r="B106" s="43"/>
      <c r="C106" s="43"/>
      <c r="D106" s="43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  <c r="AA106" s="45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</row>
    <row r="107" spans="1:53" s="2" customFormat="1" ht="17" customHeight="1">
      <c r="A107" s="53"/>
      <c r="B107" s="43"/>
      <c r="C107" s="43"/>
      <c r="D107" s="43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  <c r="AA107" s="45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</row>
    <row r="108" spans="1:53" s="2" customFormat="1" ht="17" customHeight="1">
      <c r="A108" s="53"/>
      <c r="B108" s="43"/>
      <c r="C108" s="43"/>
      <c r="D108" s="43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  <c r="AA108" s="45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</row>
    <row r="109" spans="1:53" s="2" customFormat="1" ht="17" customHeight="1">
      <c r="A109" s="53"/>
      <c r="B109" s="43"/>
      <c r="C109" s="43"/>
      <c r="D109" s="43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</row>
    <row r="110" spans="1:53" s="2" customFormat="1" ht="17" customHeight="1">
      <c r="A110" s="53"/>
      <c r="B110" s="43"/>
      <c r="C110" s="43"/>
      <c r="D110" s="43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</row>
    <row r="111" spans="1:53" s="2" customFormat="1" ht="17" customHeight="1">
      <c r="A111" s="53"/>
      <c r="B111" s="43"/>
      <c r="C111" s="43"/>
      <c r="D111" s="43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</row>
    <row r="112" spans="1:53" s="2" customFormat="1" ht="17" customHeight="1">
      <c r="A112" s="53"/>
      <c r="B112" s="43"/>
      <c r="C112" s="43"/>
      <c r="D112" s="43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</row>
    <row r="113" spans="1:53" s="2" customFormat="1" ht="17" customHeight="1">
      <c r="A113" s="53"/>
      <c r="B113" s="43"/>
      <c r="C113" s="43"/>
      <c r="D113" s="43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</row>
    <row r="114" spans="1:53" s="2" customFormat="1" ht="17" customHeight="1">
      <c r="A114" s="53"/>
      <c r="B114" s="43"/>
      <c r="C114" s="43"/>
      <c r="D114" s="43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</row>
    <row r="115" spans="1:53" s="2" customFormat="1" ht="17" customHeight="1">
      <c r="A115" s="53"/>
      <c r="B115" s="43"/>
      <c r="C115" s="43"/>
      <c r="D115" s="43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</row>
    <row r="116" spans="1:53" s="2" customFormat="1" ht="17" customHeight="1">
      <c r="A116" s="53"/>
      <c r="B116" s="43"/>
      <c r="C116" s="43"/>
      <c r="D116" s="43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</row>
    <row r="117" spans="1:53" s="2" customFormat="1" ht="17" customHeight="1">
      <c r="A117" s="53"/>
      <c r="B117" s="43"/>
      <c r="C117" s="43"/>
      <c r="D117" s="43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</row>
    <row r="118" spans="1:53" s="2" customFormat="1" ht="17" customHeight="1">
      <c r="A118" s="53"/>
      <c r="B118" s="43"/>
      <c r="C118" s="43"/>
      <c r="D118" s="43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</row>
    <row r="119" spans="1:53" s="2" customFormat="1" ht="17" customHeight="1">
      <c r="A119" s="53"/>
      <c r="B119" s="43"/>
      <c r="C119" s="43"/>
      <c r="D119" s="43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</row>
    <row r="120" spans="1:53" s="2" customFormat="1" ht="17" customHeight="1">
      <c r="A120" s="53"/>
      <c r="B120" s="43"/>
      <c r="C120" s="43"/>
      <c r="D120" s="43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D2717-2252-EE41-B3FB-AD0D644560D2}">
  <sheetPr codeName="Sheet8"/>
  <dimension ref="A1:BA129"/>
  <sheetViews>
    <sheetView showGridLines="0" showRowColHeaders="0" topLeftCell="A101" workbookViewId="0">
      <selection activeCell="A100" sqref="A1:XFD100"/>
    </sheetView>
  </sheetViews>
  <sheetFormatPr baseColWidth="10" defaultRowHeight="16"/>
  <cols>
    <col min="1" max="1" width="54.6640625" style="46" customWidth="1"/>
    <col min="2" max="2" width="23.5" style="92" customWidth="1"/>
    <col min="3" max="3" width="16.1640625" style="92" customWidth="1"/>
    <col min="4" max="4" width="47.5" style="73" customWidth="1"/>
    <col min="5" max="5" width="26.5" style="38" customWidth="1"/>
    <col min="6" max="6" width="20" style="38" customWidth="1"/>
    <col min="7" max="7" width="23.5" style="38" customWidth="1"/>
    <col min="8" max="8" width="16.6640625" style="38" customWidth="1"/>
    <col min="9" max="9" width="19.5" style="38" customWidth="1"/>
    <col min="10" max="53" width="10.83203125" style="38" customWidth="1"/>
    <col min="54" max="16384" width="10.83203125" style="38"/>
  </cols>
  <sheetData>
    <row r="1" spans="1:53" s="40" customFormat="1" ht="21" hidden="1" customHeight="1">
      <c r="A1" s="40" t="str">
        <f>IF('[1]371 Community Livestock Assets '!A4=0,"",'[1]371 Community Livestock Assets '!A4)</f>
        <v>LZ</v>
      </c>
      <c r="B1" s="40" t="str">
        <f>IF('[1]371 Community Livestock Assets '!B4=0," ",'[1]371 Community Livestock Assets '!B4)</f>
        <v>Community</v>
      </c>
      <c r="C1" s="40" t="str">
        <f>IF('[1]371 Community Livestock Assets '!C4=0," ",'[1]371 Community Livestock Assets '!C4)</f>
        <v>Wealthgroup</v>
      </c>
      <c r="E1" s="40" t="str">
        <f>IF('[1]371 Community Livestock Assets '!D4=0," ",'[1]371 Community Livestock Assets '!D4)</f>
        <v>Cattle</v>
      </c>
      <c r="F1" s="40" t="str">
        <f>IF('[1]371 Community Livestock Assets '!E4=0," ",'[1]371 Community Livestock Assets '!E4)</f>
        <v>Pig</v>
      </c>
      <c r="G1" s="40" t="str">
        <f>IF('[1]371 Community Livestock Assets '!F4=0," ",'[1]371 Community Livestock Assets '!F4)</f>
        <v>Chicken</v>
      </c>
      <c r="H1" s="40" t="str">
        <f>IF('[1]371 Community Livestock Assets '!G4=0," ",'[1]371 Community Livestock Assets '!G4)</f>
        <v>Goat</v>
      </c>
      <c r="I1" s="40" t="str">
        <f>IF('[1]371 Community Livestock Assets '!H4=0," ",'[1]371 Community Livestock Assets '!H4)</f>
        <v>Chicken, local</v>
      </c>
      <c r="J1" s="40" t="str">
        <f>IF('[1]371 Community Livestock Assets '!I4=0," ",'[1]371 Community Livestock Assets '!I4)</f>
        <v>Cow, dairy</v>
      </c>
      <c r="K1" s="40" t="str">
        <f>IF('[1]371 Community Livestock Assets '!J4=0," ",'[1]371 Community Livestock Assets '!J4)</f>
        <v xml:space="preserve"> </v>
      </c>
      <c r="L1" s="40" t="str">
        <f>IF('[1]371 Community Livestock Assets '!K4=0," ",'[1]371 Community Livestock Assets '!K4)</f>
        <v xml:space="preserve"> </v>
      </c>
      <c r="M1" s="40" t="str">
        <f>IF('[1]371 Community Livestock Assets '!L4=0," ",'[1]371 Community Livestock Assets '!L4)</f>
        <v xml:space="preserve"> </v>
      </c>
      <c r="N1" s="40" t="str">
        <f>IF('[1]371 Community Livestock Assets '!M4=0," ",'[1]371 Community Livestock Assets '!M4)</f>
        <v xml:space="preserve"> </v>
      </c>
      <c r="O1" s="40" t="str">
        <f>IF('[1]371 Community Livestock Assets '!N4=0," ",'[1]371 Community Livestock Assets '!N4)</f>
        <v xml:space="preserve"> </v>
      </c>
      <c r="P1" s="40" t="str">
        <f>IF('[1]371 Community Livestock Assets '!O4=0," ",'[1]371 Community Livestock Assets '!O4)</f>
        <v xml:space="preserve"> </v>
      </c>
      <c r="Q1" s="40" t="str">
        <f>IF('[1]371 Community Livestock Assets '!P4=0," ",'[1]371 Community Livestock Assets '!P4)</f>
        <v xml:space="preserve"> </v>
      </c>
      <c r="R1" s="40" t="str">
        <f>IF('[1]371 Community Livestock Assets '!Q4=0," ",'[1]371 Community Livestock Assets '!Q4)</f>
        <v xml:space="preserve"> </v>
      </c>
      <c r="S1" s="40" t="str">
        <f>IF('[1]371 Community Livestock Assets '!R4=0," ",'[1]371 Community Livestock Assets '!R4)</f>
        <v xml:space="preserve"> </v>
      </c>
      <c r="T1" s="40" t="str">
        <f>IF('[1]371 Community Livestock Assets '!S4=0," ",'[1]371 Community Livestock Assets '!S4)</f>
        <v xml:space="preserve"> </v>
      </c>
      <c r="U1" s="40" t="str">
        <f>IF('[1]371 Community Livestock Assets '!T4=0," ",'[1]371 Community Livestock Assets '!T4)</f>
        <v xml:space="preserve"> </v>
      </c>
      <c r="V1" s="40" t="str">
        <f>IF('[1]371 Community Livestock Assets '!U4=0," ",'[1]371 Community Livestock Assets '!U4)</f>
        <v xml:space="preserve"> </v>
      </c>
      <c r="W1" s="40" t="str">
        <f>IF('[1]371 Community Livestock Assets '!V4=0," ",'[1]371 Community Livestock Assets '!V4)</f>
        <v xml:space="preserve"> </v>
      </c>
      <c r="X1" s="40" t="str">
        <f>IF('[1]371 Community Livestock Assets '!W4=0," ",'[1]371 Community Livestock Assets '!W4)</f>
        <v xml:space="preserve"> </v>
      </c>
      <c r="Y1" s="40" t="str">
        <f>IF('[1]371 Community Livestock Assets '!X4=0," ",'[1]371 Community Livestock Assets '!X4)</f>
        <v xml:space="preserve"> </v>
      </c>
      <c r="Z1" s="40" t="str">
        <f>IF('[1]371 Community Livestock Assets '!Y4=0," ",'[1]371 Community Livestock Assets '!Y4)</f>
        <v xml:space="preserve"> </v>
      </c>
      <c r="AA1" s="40" t="str">
        <f>IF('[1]371 Community Livestock Assets '!Z4=0," ",'[1]371 Community Livestock Assets '!Z4)</f>
        <v xml:space="preserve"> </v>
      </c>
      <c r="AB1" s="40" t="str">
        <f>IF('[1]371 Community Livestock Assets '!AA4=0," ",'[1]371 Community Livestock Assets '!AA4)</f>
        <v xml:space="preserve"> </v>
      </c>
    </row>
    <row r="2" spans="1:53" s="95" customFormat="1" ht="16" hidden="1" customHeight="1">
      <c r="A2" s="87" t="str">
        <f>'Disposable Income Data'!A3</f>
        <v>Banana Coffee Piggery</v>
      </c>
      <c r="B2" s="93" t="str">
        <f>IF('[1]371 Community Livestock Assets '!B5=0," ",'[1]371 Community Livestock Assets '!B5)</f>
        <v xml:space="preserve"> </v>
      </c>
      <c r="C2" s="93" t="str">
        <f>IF('[1]371 Community Livestock Assets '!C5=0," ",'[1]371 Community Livestock Assets '!C5)</f>
        <v xml:space="preserve"> </v>
      </c>
      <c r="D2" s="94"/>
      <c r="E2" s="96" t="str">
        <f>E1</f>
        <v>Cattle</v>
      </c>
      <c r="F2" s="96" t="str">
        <f t="shared" ref="F2:AA2" si="0">F1</f>
        <v>Pig</v>
      </c>
      <c r="G2" s="96" t="str">
        <f t="shared" si="0"/>
        <v>Chicken</v>
      </c>
      <c r="H2" s="96" t="str">
        <f t="shared" si="0"/>
        <v>Goat</v>
      </c>
      <c r="I2" s="96" t="str">
        <f t="shared" si="0"/>
        <v>Chicken, local</v>
      </c>
      <c r="J2" s="96" t="str">
        <f t="shared" si="0"/>
        <v>Cow, dairy</v>
      </c>
      <c r="K2" s="96" t="str">
        <f t="shared" si="0"/>
        <v xml:space="preserve"> </v>
      </c>
      <c r="L2" s="96" t="str">
        <f t="shared" si="0"/>
        <v xml:space="preserve"> </v>
      </c>
      <c r="M2" s="96" t="str">
        <f t="shared" si="0"/>
        <v xml:space="preserve"> </v>
      </c>
      <c r="N2" s="96" t="str">
        <f t="shared" si="0"/>
        <v xml:space="preserve"> </v>
      </c>
      <c r="O2" s="96" t="str">
        <f t="shared" si="0"/>
        <v xml:space="preserve"> </v>
      </c>
      <c r="P2" s="96" t="str">
        <f t="shared" si="0"/>
        <v xml:space="preserve"> </v>
      </c>
      <c r="Q2" s="96" t="str">
        <f t="shared" si="0"/>
        <v xml:space="preserve"> </v>
      </c>
      <c r="R2" s="96" t="str">
        <f t="shared" si="0"/>
        <v xml:space="preserve"> </v>
      </c>
      <c r="S2" s="96" t="str">
        <f t="shared" si="0"/>
        <v xml:space="preserve"> </v>
      </c>
      <c r="T2" s="96" t="str">
        <f t="shared" si="0"/>
        <v xml:space="preserve"> </v>
      </c>
      <c r="U2" s="96" t="str">
        <f t="shared" si="0"/>
        <v xml:space="preserve"> </v>
      </c>
      <c r="V2" s="96" t="str">
        <f t="shared" si="0"/>
        <v xml:space="preserve"> </v>
      </c>
      <c r="W2" s="96" t="str">
        <f t="shared" si="0"/>
        <v xml:space="preserve"> </v>
      </c>
      <c r="X2" s="96" t="str">
        <f t="shared" si="0"/>
        <v xml:space="preserve"> </v>
      </c>
      <c r="Y2" s="96" t="str">
        <f t="shared" si="0"/>
        <v xml:space="preserve"> </v>
      </c>
      <c r="Z2" s="96" t="str">
        <f t="shared" si="0"/>
        <v xml:space="preserve"> </v>
      </c>
      <c r="AA2" s="96" t="str">
        <f t="shared" si="0"/>
        <v xml:space="preserve"> </v>
      </c>
    </row>
    <row r="3" spans="1:53" ht="17" hidden="1" customHeight="1">
      <c r="B3" s="93" t="str">
        <f>IF('[1]371 Community Livestock Assets '!B6=0," ",'[1]371 Community Livestock Assets '!B6)</f>
        <v>Averages</v>
      </c>
      <c r="C3" s="93" t="str">
        <f>IF('[1]371 Community Livestock Assets '!C6=0," ",'[1]371 Community Livestock Assets '!C6)</f>
        <v>Poor</v>
      </c>
      <c r="D3" s="88" t="str">
        <f>C3</f>
        <v>Poor</v>
      </c>
      <c r="E3" s="71">
        <f>IF('[1]371 Community Livestock Assets '!D6="","",'[1]371 Community Livestock Assets '!D6)</f>
        <v>0</v>
      </c>
      <c r="F3" s="71">
        <f>IF('[1]371 Community Livestock Assets '!E6="","",'[1]371 Community Livestock Assets '!E6)</f>
        <v>1.5</v>
      </c>
      <c r="G3" s="71">
        <f>IF('[1]371 Community Livestock Assets '!F6="","",'[1]371 Community Livestock Assets '!F6)</f>
        <v>4.5</v>
      </c>
      <c r="H3" s="71">
        <f>IF('[1]371 Community Livestock Assets '!G6="","",'[1]371 Community Livestock Assets '!G6)</f>
        <v>0.25</v>
      </c>
      <c r="I3" s="71">
        <f>IF('[1]371 Community Livestock Assets '!H6="","",'[1]371 Community Livestock Assets '!H6)</f>
        <v>0</v>
      </c>
      <c r="J3" s="71">
        <f>IF('[1]371 Community Livestock Assets '!I6="","",'[1]371 Community Livestock Assets '!I6)</f>
        <v>0</v>
      </c>
      <c r="K3" s="71" t="str">
        <f>IF('[1]371 Community Livestock Assets '!J6="","",'[1]371 Community Livestock Assets '!J6)</f>
        <v/>
      </c>
      <c r="L3" s="71" t="str">
        <f>IF('[1]371 Community Livestock Assets '!K6="","",'[1]371 Community Livestock Assets '!K6)</f>
        <v/>
      </c>
      <c r="M3" s="71" t="str">
        <f>IF('[1]371 Community Livestock Assets '!L6="","",'[1]371 Community Livestock Assets '!L6)</f>
        <v/>
      </c>
      <c r="N3" s="71" t="str">
        <f>IF('[1]371 Community Livestock Assets '!M6="","",'[1]371 Community Livestock Assets '!M6)</f>
        <v/>
      </c>
      <c r="O3" s="71" t="str">
        <f>IF('[1]371 Community Livestock Assets '!N6="","",'[1]371 Community Livestock Assets '!N6)</f>
        <v/>
      </c>
      <c r="P3" s="71" t="str">
        <f>IF('[1]371 Community Livestock Assets '!O6="","",'[1]371 Community Livestock Assets '!O6)</f>
        <v/>
      </c>
      <c r="Q3" s="71" t="str">
        <f>IF('[1]371 Community Livestock Assets '!P6="","",'[1]371 Community Livestock Assets '!P6)</f>
        <v/>
      </c>
      <c r="R3" s="71" t="str">
        <f>IF('[1]371 Community Livestock Assets '!Q6="","",'[1]371 Community Livestock Assets '!Q6)</f>
        <v/>
      </c>
      <c r="S3" s="71" t="str">
        <f>IF('[1]371 Community Livestock Assets '!R6="","",'[1]371 Community Livestock Assets '!R6)</f>
        <v/>
      </c>
      <c r="T3" s="71" t="str">
        <f>IF('[1]371 Community Livestock Assets '!S6="","",'[1]371 Community Livestock Assets '!S6)</f>
        <v/>
      </c>
      <c r="U3" s="71" t="str">
        <f>IF('[1]371 Community Livestock Assets '!T6="","",'[1]371 Community Livestock Assets '!T6)</f>
        <v/>
      </c>
      <c r="V3" s="71" t="str">
        <f>IF('[1]371 Community Livestock Assets '!U6="","",'[1]371 Community Livestock Assets '!U6)</f>
        <v/>
      </c>
      <c r="W3" s="71" t="str">
        <f>IF('[1]371 Community Livestock Assets '!V6="","",'[1]371 Community Livestock Assets '!V6)</f>
        <v/>
      </c>
      <c r="X3" s="71" t="str">
        <f>IF('[1]371 Community Livestock Assets '!W6="","",'[1]371 Community Livestock Assets '!W6)</f>
        <v/>
      </c>
      <c r="Y3" s="71" t="str">
        <f>IF('[1]371 Community Livestock Assets '!X6="","",'[1]371 Community Livestock Assets '!X6)</f>
        <v/>
      </c>
      <c r="Z3" s="71" t="str">
        <f>IF('[1]371 Community Livestock Assets '!Y6="","",'[1]371 Community Livestock Assets '!Y6)</f>
        <v/>
      </c>
      <c r="AA3" s="71" t="str">
        <f>IF('[1]371 Community Livestock Assets '!Z6="","",'[1]371 Community Livestock Assets '!Z6)</f>
        <v/>
      </c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</row>
    <row r="4" spans="1:53" ht="17" hidden="1" customHeight="1">
      <c r="B4" s="93" t="str">
        <f>IF('[1]371 Community Livestock Assets '!B7=0," ",'[1]371 Community Livestock Assets '!B7)</f>
        <v xml:space="preserve"> </v>
      </c>
      <c r="C4" s="93" t="str">
        <f>IF('[1]371 Community Livestock Assets '!C7=0," ",'[1]371 Community Livestock Assets '!C7)</f>
        <v>Middle</v>
      </c>
      <c r="D4" s="88" t="str">
        <f t="shared" ref="D4:D5" si="1">C4</f>
        <v>Middle</v>
      </c>
      <c r="E4" s="71">
        <f>IF('[1]371 Community Livestock Assets '!D7="","",'[1]371 Community Livestock Assets '!D7)</f>
        <v>1</v>
      </c>
      <c r="F4" s="71">
        <f>IF('[1]371 Community Livestock Assets '!E7="","",'[1]371 Community Livestock Assets '!E7)</f>
        <v>4.5</v>
      </c>
      <c r="G4" s="71">
        <f>IF('[1]371 Community Livestock Assets '!F7="","",'[1]371 Community Livestock Assets '!F7)</f>
        <v>4.25</v>
      </c>
      <c r="H4" s="71">
        <f>IF('[1]371 Community Livestock Assets '!G7="","",'[1]371 Community Livestock Assets '!G7)</f>
        <v>2</v>
      </c>
      <c r="I4" s="71">
        <f>IF('[1]371 Community Livestock Assets '!H7="","",'[1]371 Community Livestock Assets '!H7)</f>
        <v>2.5</v>
      </c>
      <c r="J4" s="71">
        <f>IF('[1]371 Community Livestock Assets '!I7="","",'[1]371 Community Livestock Assets '!I7)</f>
        <v>0.75</v>
      </c>
      <c r="K4" s="71" t="str">
        <f>IF('[1]371 Community Livestock Assets '!J7="","",'[1]371 Community Livestock Assets '!J7)</f>
        <v/>
      </c>
      <c r="L4" s="71" t="str">
        <f>IF('[1]371 Community Livestock Assets '!K7="","",'[1]371 Community Livestock Assets '!K7)</f>
        <v/>
      </c>
      <c r="M4" s="71" t="str">
        <f>IF('[1]371 Community Livestock Assets '!L7="","",'[1]371 Community Livestock Assets '!L7)</f>
        <v/>
      </c>
      <c r="N4" s="71" t="str">
        <f>IF('[1]371 Community Livestock Assets '!M7="","",'[1]371 Community Livestock Assets '!M7)</f>
        <v/>
      </c>
      <c r="O4" s="71" t="str">
        <f>IF('[1]371 Community Livestock Assets '!N7="","",'[1]371 Community Livestock Assets '!N7)</f>
        <v/>
      </c>
      <c r="P4" s="71" t="str">
        <f>IF('[1]371 Community Livestock Assets '!O7="","",'[1]371 Community Livestock Assets '!O7)</f>
        <v/>
      </c>
      <c r="Q4" s="71" t="str">
        <f>IF('[1]371 Community Livestock Assets '!P7="","",'[1]371 Community Livestock Assets '!P7)</f>
        <v/>
      </c>
      <c r="R4" s="71" t="str">
        <f>IF('[1]371 Community Livestock Assets '!Q7="","",'[1]371 Community Livestock Assets '!Q7)</f>
        <v/>
      </c>
      <c r="S4" s="71" t="str">
        <f>IF('[1]371 Community Livestock Assets '!R7="","",'[1]371 Community Livestock Assets '!R7)</f>
        <v/>
      </c>
      <c r="T4" s="71" t="str">
        <f>IF('[1]371 Community Livestock Assets '!S7="","",'[1]371 Community Livestock Assets '!S7)</f>
        <v/>
      </c>
      <c r="U4" s="71" t="str">
        <f>IF('[1]371 Community Livestock Assets '!T7="","",'[1]371 Community Livestock Assets '!T7)</f>
        <v/>
      </c>
      <c r="V4" s="71" t="str">
        <f>IF('[1]371 Community Livestock Assets '!U7="","",'[1]371 Community Livestock Assets '!U7)</f>
        <v/>
      </c>
      <c r="W4" s="71" t="str">
        <f>IF('[1]371 Community Livestock Assets '!V7="","",'[1]371 Community Livestock Assets '!V7)</f>
        <v/>
      </c>
      <c r="X4" s="71" t="str">
        <f>IF('[1]371 Community Livestock Assets '!W7="","",'[1]371 Community Livestock Assets '!W7)</f>
        <v/>
      </c>
      <c r="Y4" s="71" t="str">
        <f>IF('[1]371 Community Livestock Assets '!X7="","",'[1]371 Community Livestock Assets '!X7)</f>
        <v/>
      </c>
      <c r="Z4" s="71" t="str">
        <f>IF('[1]371 Community Livestock Assets '!Y7="","",'[1]371 Community Livestock Assets '!Y7)</f>
        <v/>
      </c>
      <c r="AA4" s="71" t="str">
        <f>IF('[1]371 Community Livestock Assets '!Z7="","",'[1]371 Community Livestock Assets '!Z7)</f>
        <v/>
      </c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</row>
    <row r="5" spans="1:53" s="39" customFormat="1" ht="17" hidden="1" customHeight="1">
      <c r="A5" s="50"/>
      <c r="B5" s="93" t="str">
        <f>IF('[1]371 Community Livestock Assets '!B8=0," ",'[1]371 Community Livestock Assets '!B8)</f>
        <v xml:space="preserve"> </v>
      </c>
      <c r="C5" s="93" t="str">
        <f>IF('[1]371 Community Livestock Assets '!C8=0," ",'[1]371 Community Livestock Assets '!C8)</f>
        <v>Better Off</v>
      </c>
      <c r="D5" s="88" t="str">
        <f t="shared" si="1"/>
        <v>Better Off</v>
      </c>
      <c r="E5" s="71">
        <f>IF('[1]371 Community Livestock Assets '!D8="","",'[1]371 Community Livestock Assets '!D8)</f>
        <v>1.75</v>
      </c>
      <c r="F5" s="71">
        <f>IF('[1]371 Community Livestock Assets '!E8="","",'[1]371 Community Livestock Assets '!E8)</f>
        <v>12</v>
      </c>
      <c r="G5" s="71">
        <f>IF('[1]371 Community Livestock Assets '!F8="","",'[1]371 Community Livestock Assets '!F8)</f>
        <v>100.25</v>
      </c>
      <c r="H5" s="71">
        <f>IF('[1]371 Community Livestock Assets '!G8="","",'[1]371 Community Livestock Assets '!G8)</f>
        <v>18.25</v>
      </c>
      <c r="I5" s="71">
        <f>IF('[1]371 Community Livestock Assets '!H8="","",'[1]371 Community Livestock Assets '!H8)</f>
        <v>5.5</v>
      </c>
      <c r="J5" s="71">
        <f>IF('[1]371 Community Livestock Assets '!I8="","",'[1]371 Community Livestock Assets '!I8)</f>
        <v>0</v>
      </c>
      <c r="K5" s="71" t="str">
        <f>IF('[1]371 Community Livestock Assets '!J8="","",'[1]371 Community Livestock Assets '!J8)</f>
        <v/>
      </c>
      <c r="L5" s="71" t="str">
        <f>IF('[1]371 Community Livestock Assets '!K8="","",'[1]371 Community Livestock Assets '!K8)</f>
        <v/>
      </c>
      <c r="M5" s="71" t="str">
        <f>IF('[1]371 Community Livestock Assets '!L8="","",'[1]371 Community Livestock Assets '!L8)</f>
        <v/>
      </c>
      <c r="N5" s="71" t="str">
        <f>IF('[1]371 Community Livestock Assets '!M8="","",'[1]371 Community Livestock Assets '!M8)</f>
        <v/>
      </c>
      <c r="O5" s="71" t="str">
        <f>IF('[1]371 Community Livestock Assets '!N8="","",'[1]371 Community Livestock Assets '!N8)</f>
        <v/>
      </c>
      <c r="P5" s="71" t="str">
        <f>IF('[1]371 Community Livestock Assets '!O8="","",'[1]371 Community Livestock Assets '!O8)</f>
        <v/>
      </c>
      <c r="Q5" s="71" t="str">
        <f>IF('[1]371 Community Livestock Assets '!P8="","",'[1]371 Community Livestock Assets '!P8)</f>
        <v/>
      </c>
      <c r="R5" s="71" t="str">
        <f>IF('[1]371 Community Livestock Assets '!Q8="","",'[1]371 Community Livestock Assets '!Q8)</f>
        <v/>
      </c>
      <c r="S5" s="71" t="str">
        <f>IF('[1]371 Community Livestock Assets '!R8="","",'[1]371 Community Livestock Assets '!R8)</f>
        <v/>
      </c>
      <c r="T5" s="71" t="str">
        <f>IF('[1]371 Community Livestock Assets '!S8="","",'[1]371 Community Livestock Assets '!S8)</f>
        <v/>
      </c>
      <c r="U5" s="71" t="str">
        <f>IF('[1]371 Community Livestock Assets '!T8="","",'[1]371 Community Livestock Assets '!T8)</f>
        <v/>
      </c>
      <c r="V5" s="71" t="str">
        <f>IF('[1]371 Community Livestock Assets '!U8="","",'[1]371 Community Livestock Assets '!U8)</f>
        <v/>
      </c>
      <c r="W5" s="71" t="str">
        <f>IF('[1]371 Community Livestock Assets '!V8="","",'[1]371 Community Livestock Assets '!V8)</f>
        <v/>
      </c>
      <c r="X5" s="71" t="str">
        <f>IF('[1]371 Community Livestock Assets '!W8="","",'[1]371 Community Livestock Assets '!W8)</f>
        <v/>
      </c>
      <c r="Y5" s="71" t="str">
        <f>IF('[1]371 Community Livestock Assets '!X8="","",'[1]371 Community Livestock Assets '!X8)</f>
        <v/>
      </c>
      <c r="Z5" s="71" t="str">
        <f>IF('[1]371 Community Livestock Assets '!Y8="","",'[1]371 Community Livestock Assets '!Y8)</f>
        <v/>
      </c>
      <c r="AA5" s="71" t="str">
        <f>IF('[1]371 Community Livestock Assets '!Z8="","",'[1]371 Community Livestock Assets '!Z8)</f>
        <v/>
      </c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</row>
    <row r="6" spans="1:53" ht="17" hidden="1" customHeight="1">
      <c r="A6" s="86"/>
      <c r="B6" s="93" t="str">
        <f>IF('[1]371 Community Livestock Assets '!B9=0," ",'[1]371 Community Livestock Assets '!B9)</f>
        <v xml:space="preserve"> </v>
      </c>
      <c r="C6" s="93" t="str">
        <f>IF('[1]371 Community Livestock Assets '!C9=0," ",'[1]371 Community Livestock Assets '!C9)</f>
        <v xml:space="preserve"> </v>
      </c>
      <c r="D6" s="88"/>
      <c r="E6" s="71" t="str">
        <f>E1</f>
        <v>Cattle</v>
      </c>
      <c r="F6" s="71" t="str">
        <f t="shared" ref="F6:AA6" si="2">F1</f>
        <v>Pig</v>
      </c>
      <c r="G6" s="71" t="str">
        <f t="shared" si="2"/>
        <v>Chicken</v>
      </c>
      <c r="H6" s="71" t="str">
        <f t="shared" si="2"/>
        <v>Goat</v>
      </c>
      <c r="I6" s="71" t="str">
        <f t="shared" si="2"/>
        <v>Chicken, local</v>
      </c>
      <c r="J6" s="71" t="str">
        <f t="shared" si="2"/>
        <v>Cow, dairy</v>
      </c>
      <c r="K6" s="71" t="str">
        <f t="shared" si="2"/>
        <v xml:space="preserve"> </v>
      </c>
      <c r="L6" s="71" t="str">
        <f t="shared" si="2"/>
        <v xml:space="preserve"> </v>
      </c>
      <c r="M6" s="71" t="str">
        <f t="shared" si="2"/>
        <v xml:space="preserve"> </v>
      </c>
      <c r="N6" s="71" t="str">
        <f t="shared" si="2"/>
        <v xml:space="preserve"> </v>
      </c>
      <c r="O6" s="71" t="str">
        <f t="shared" si="2"/>
        <v xml:space="preserve"> </v>
      </c>
      <c r="P6" s="71" t="str">
        <f t="shared" si="2"/>
        <v xml:space="preserve"> </v>
      </c>
      <c r="Q6" s="71" t="str">
        <f t="shared" si="2"/>
        <v xml:space="preserve"> </v>
      </c>
      <c r="R6" s="71" t="str">
        <f t="shared" si="2"/>
        <v xml:space="preserve"> </v>
      </c>
      <c r="S6" s="71" t="str">
        <f t="shared" si="2"/>
        <v xml:space="preserve"> </v>
      </c>
      <c r="T6" s="71" t="str">
        <f t="shared" si="2"/>
        <v xml:space="preserve"> </v>
      </c>
      <c r="U6" s="71" t="str">
        <f t="shared" si="2"/>
        <v xml:space="preserve"> </v>
      </c>
      <c r="V6" s="71" t="str">
        <f t="shared" si="2"/>
        <v xml:space="preserve"> </v>
      </c>
      <c r="W6" s="71" t="str">
        <f t="shared" si="2"/>
        <v xml:space="preserve"> </v>
      </c>
      <c r="X6" s="71" t="str">
        <f t="shared" si="2"/>
        <v xml:space="preserve"> </v>
      </c>
      <c r="Y6" s="71" t="str">
        <f t="shared" si="2"/>
        <v xml:space="preserve"> </v>
      </c>
      <c r="Z6" s="71" t="str">
        <f t="shared" si="2"/>
        <v xml:space="preserve"> </v>
      </c>
      <c r="AA6" s="71" t="str">
        <f t="shared" si="2"/>
        <v xml:space="preserve"> </v>
      </c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</row>
    <row r="7" spans="1:53" s="39" customFormat="1" ht="17" hidden="1" customHeight="1">
      <c r="A7" s="80" t="s">
        <v>23</v>
      </c>
      <c r="B7" s="93"/>
      <c r="C7" s="93" t="str">
        <f>IF('[1]371 Community Livestock Assets '!C10=0," ",'[1]371 Community Livestock Assets '!C10)</f>
        <v>Poor</v>
      </c>
      <c r="D7" s="88" t="str">
        <f>IF(B7&lt;&gt;" ",CONCATENATE(C7,"      ",B7),C7)</f>
        <v xml:space="preserve">Poor      </v>
      </c>
      <c r="E7" s="71">
        <f>IF('[1]371 Community Livestock Assets '!D10="","",'[1]371 Community Livestock Assets '!D10)</f>
        <v>0</v>
      </c>
      <c r="F7" s="71">
        <f>IF('[1]371 Community Livestock Assets '!E10="","",'[1]371 Community Livestock Assets '!E10)</f>
        <v>0</v>
      </c>
      <c r="G7" s="71">
        <f>IF('[1]371 Community Livestock Assets '!F10="","",'[1]371 Community Livestock Assets '!F10)</f>
        <v>6</v>
      </c>
      <c r="H7" s="71">
        <f>IF('[1]371 Community Livestock Assets '!G10="","",'[1]371 Community Livestock Assets '!G10)</f>
        <v>0</v>
      </c>
      <c r="I7" s="71">
        <f>IF('[1]371 Community Livestock Assets '!H10="","",'[1]371 Community Livestock Assets '!H10)</f>
        <v>0</v>
      </c>
      <c r="J7" s="71">
        <f>IF('[1]371 Community Livestock Assets '!I10="","",'[1]371 Community Livestock Assets '!I10)</f>
        <v>0</v>
      </c>
      <c r="K7" s="71" t="str">
        <f>IF('[1]371 Community Livestock Assets '!J10="","",'[1]371 Community Livestock Assets '!J10)</f>
        <v/>
      </c>
      <c r="L7" s="71" t="str">
        <f>IF('[1]371 Community Livestock Assets '!K10="","",'[1]371 Community Livestock Assets '!K10)</f>
        <v/>
      </c>
      <c r="M7" s="71" t="str">
        <f>IF('[1]371 Community Livestock Assets '!L10="","",'[1]371 Community Livestock Assets '!L10)</f>
        <v/>
      </c>
      <c r="N7" s="71" t="str">
        <f>IF('[1]371 Community Livestock Assets '!M10="","",'[1]371 Community Livestock Assets '!M10)</f>
        <v/>
      </c>
      <c r="O7" s="71" t="str">
        <f>IF('[1]371 Community Livestock Assets '!N10="","",'[1]371 Community Livestock Assets '!N10)</f>
        <v/>
      </c>
      <c r="P7" s="71" t="str">
        <f>IF('[1]371 Community Livestock Assets '!O10="","",'[1]371 Community Livestock Assets '!O10)</f>
        <v/>
      </c>
      <c r="Q7" s="71" t="str">
        <f>IF('[1]371 Community Livestock Assets '!P10="","",'[1]371 Community Livestock Assets '!P10)</f>
        <v/>
      </c>
      <c r="R7" s="71" t="str">
        <f>IF('[1]371 Community Livestock Assets '!Q10="","",'[1]371 Community Livestock Assets '!Q10)</f>
        <v/>
      </c>
      <c r="S7" s="71" t="str">
        <f>IF('[1]371 Community Livestock Assets '!R10="","",'[1]371 Community Livestock Assets '!R10)</f>
        <v/>
      </c>
      <c r="T7" s="71" t="str">
        <f>IF('[1]371 Community Livestock Assets '!S10="","",'[1]371 Community Livestock Assets '!S10)</f>
        <v/>
      </c>
      <c r="U7" s="71" t="str">
        <f>IF('[1]371 Community Livestock Assets '!T10="","",'[1]371 Community Livestock Assets '!T10)</f>
        <v/>
      </c>
      <c r="V7" s="71" t="str">
        <f>IF('[1]371 Community Livestock Assets '!U10="","",'[1]371 Community Livestock Assets '!U10)</f>
        <v/>
      </c>
      <c r="W7" s="71" t="str">
        <f>IF('[1]371 Community Livestock Assets '!V10="","",'[1]371 Community Livestock Assets '!V10)</f>
        <v/>
      </c>
      <c r="X7" s="71" t="str">
        <f>IF('[1]371 Community Livestock Assets '!W10="","",'[1]371 Community Livestock Assets '!W10)</f>
        <v/>
      </c>
      <c r="Y7" s="71" t="str">
        <f>IF('[1]371 Community Livestock Assets '!X10="","",'[1]371 Community Livestock Assets '!X10)</f>
        <v/>
      </c>
      <c r="Z7" s="71" t="str">
        <f>IF('[1]371 Community Livestock Assets '!Y10="","",'[1]371 Community Livestock Assets '!Y10)</f>
        <v/>
      </c>
      <c r="AA7" s="71" t="str">
        <f>IF('[1]371 Community Livestock Assets '!Z10="","",'[1]371 Community Livestock Assets '!Z10)</f>
        <v/>
      </c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</row>
    <row r="8" spans="1:53" s="39" customFormat="1" ht="17" hidden="1" customHeight="1">
      <c r="A8" s="83">
        <f>'Disposable Income Data'!G9</f>
        <v>4</v>
      </c>
      <c r="B8" s="93" t="str">
        <f>IF('[1]371 Community Livestock Assets '!B10=0," ",'[1]371 Community Livestock Assets '!B10)</f>
        <v>Mukono Butere</v>
      </c>
      <c r="C8" s="93" t="str">
        <f>IF('[1]371 Community Livestock Assets '!C11=0," ",'[1]371 Community Livestock Assets '!C11)</f>
        <v>Middle</v>
      </c>
      <c r="D8" s="88" t="str">
        <f t="shared" ref="D8:D71" si="3">IF(B8&lt;&gt;" ",CONCATENATE(C8,"      ",B8),C8)</f>
        <v>Middle      Mukono Butere</v>
      </c>
      <c r="E8" s="71">
        <f>IF('[1]371 Community Livestock Assets '!D11="","",'[1]371 Community Livestock Assets '!D11)</f>
        <v>2</v>
      </c>
      <c r="F8" s="71">
        <f>IF('[1]371 Community Livestock Assets '!E11="","",'[1]371 Community Livestock Assets '!E11)</f>
        <v>3</v>
      </c>
      <c r="G8" s="71">
        <f>IF('[1]371 Community Livestock Assets '!F11="","",'[1]371 Community Livestock Assets '!F11)</f>
        <v>6</v>
      </c>
      <c r="H8" s="71">
        <f>IF('[1]371 Community Livestock Assets '!G11="","",'[1]371 Community Livestock Assets '!G11)</f>
        <v>3</v>
      </c>
      <c r="I8" s="71">
        <f>IF('[1]371 Community Livestock Assets '!H11="","",'[1]371 Community Livestock Assets '!H11)</f>
        <v>0</v>
      </c>
      <c r="J8" s="71">
        <f>IF('[1]371 Community Livestock Assets '!I11="","",'[1]371 Community Livestock Assets '!I11)</f>
        <v>0</v>
      </c>
      <c r="K8" s="71" t="str">
        <f>IF('[1]371 Community Livestock Assets '!J11="","",'[1]371 Community Livestock Assets '!J11)</f>
        <v/>
      </c>
      <c r="L8" s="71" t="str">
        <f>IF('[1]371 Community Livestock Assets '!K11="","",'[1]371 Community Livestock Assets '!K11)</f>
        <v/>
      </c>
      <c r="M8" s="71" t="str">
        <f>IF('[1]371 Community Livestock Assets '!L11="","",'[1]371 Community Livestock Assets '!L11)</f>
        <v/>
      </c>
      <c r="N8" s="71" t="str">
        <f>IF('[1]371 Community Livestock Assets '!M11="","",'[1]371 Community Livestock Assets '!M11)</f>
        <v/>
      </c>
      <c r="O8" s="71" t="str">
        <f>IF('[1]371 Community Livestock Assets '!N11="","",'[1]371 Community Livestock Assets '!N11)</f>
        <v/>
      </c>
      <c r="P8" s="71" t="str">
        <f>IF('[1]371 Community Livestock Assets '!O11="","",'[1]371 Community Livestock Assets '!O11)</f>
        <v/>
      </c>
      <c r="Q8" s="71" t="str">
        <f>IF('[1]371 Community Livestock Assets '!P11="","",'[1]371 Community Livestock Assets '!P11)</f>
        <v/>
      </c>
      <c r="R8" s="71" t="str">
        <f>IF('[1]371 Community Livestock Assets '!Q11="","",'[1]371 Community Livestock Assets '!Q11)</f>
        <v/>
      </c>
      <c r="S8" s="71" t="str">
        <f>IF('[1]371 Community Livestock Assets '!R11="","",'[1]371 Community Livestock Assets '!R11)</f>
        <v/>
      </c>
      <c r="T8" s="71" t="str">
        <f>IF('[1]371 Community Livestock Assets '!S11="","",'[1]371 Community Livestock Assets '!S11)</f>
        <v/>
      </c>
      <c r="U8" s="71" t="str">
        <f>IF('[1]371 Community Livestock Assets '!T11="","",'[1]371 Community Livestock Assets '!T11)</f>
        <v/>
      </c>
      <c r="V8" s="71" t="str">
        <f>IF('[1]371 Community Livestock Assets '!U11="","",'[1]371 Community Livestock Assets '!U11)</f>
        <v/>
      </c>
      <c r="W8" s="71" t="str">
        <f>IF('[1]371 Community Livestock Assets '!V11="","",'[1]371 Community Livestock Assets '!V11)</f>
        <v/>
      </c>
      <c r="X8" s="71" t="str">
        <f>IF('[1]371 Community Livestock Assets '!W11="","",'[1]371 Community Livestock Assets '!W11)</f>
        <v/>
      </c>
      <c r="Y8" s="71" t="str">
        <f>IF('[1]371 Community Livestock Assets '!X11="","",'[1]371 Community Livestock Assets '!X11)</f>
        <v/>
      </c>
      <c r="Z8" s="71" t="str">
        <f>IF('[1]371 Community Livestock Assets '!Y11="","",'[1]371 Community Livestock Assets '!Y11)</f>
        <v/>
      </c>
      <c r="AA8" s="71" t="str">
        <f>IF('[1]371 Community Livestock Assets '!Z11="","",'[1]371 Community Livestock Assets '!Z11)</f>
        <v/>
      </c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</row>
    <row r="9" spans="1:53" s="39" customFormat="1" ht="17" hidden="1" customHeight="1">
      <c r="A9" s="80" t="s">
        <v>24</v>
      </c>
      <c r="B9" s="93" t="str">
        <f>IF('[1]371 Community Livestock Assets '!B11=0," ",'[1]371 Community Livestock Assets '!B11)</f>
        <v xml:space="preserve"> </v>
      </c>
      <c r="C9" s="93" t="str">
        <f>IF('[1]371 Community Livestock Assets '!C12=0," ",'[1]371 Community Livestock Assets '!C12)</f>
        <v>Better Off</v>
      </c>
      <c r="D9" s="88" t="str">
        <f t="shared" si="3"/>
        <v>Better Off</v>
      </c>
      <c r="E9" s="71">
        <f>IF('[1]371 Community Livestock Assets '!D12="","",'[1]371 Community Livestock Assets '!D12)</f>
        <v>0</v>
      </c>
      <c r="F9" s="71">
        <f>IF('[1]371 Community Livestock Assets '!E12="","",'[1]371 Community Livestock Assets '!E12)</f>
        <v>14</v>
      </c>
      <c r="G9" s="71">
        <f>IF('[1]371 Community Livestock Assets '!F12="","",'[1]371 Community Livestock Assets '!F12)</f>
        <v>13</v>
      </c>
      <c r="H9" s="71">
        <f>IF('[1]371 Community Livestock Assets '!G12="","",'[1]371 Community Livestock Assets '!G12)</f>
        <v>0</v>
      </c>
      <c r="I9" s="71">
        <f>IF('[1]371 Community Livestock Assets '!H12="","",'[1]371 Community Livestock Assets '!H12)</f>
        <v>0</v>
      </c>
      <c r="J9" s="71">
        <f>IF('[1]371 Community Livestock Assets '!I12="","",'[1]371 Community Livestock Assets '!I12)</f>
        <v>0</v>
      </c>
      <c r="K9" s="71" t="str">
        <f>IF('[1]371 Community Livestock Assets '!J12="","",'[1]371 Community Livestock Assets '!J12)</f>
        <v/>
      </c>
      <c r="L9" s="71" t="str">
        <f>IF('[1]371 Community Livestock Assets '!K12="","",'[1]371 Community Livestock Assets '!K12)</f>
        <v/>
      </c>
      <c r="M9" s="71" t="str">
        <f>IF('[1]371 Community Livestock Assets '!L12="","",'[1]371 Community Livestock Assets '!L12)</f>
        <v/>
      </c>
      <c r="N9" s="71" t="str">
        <f>IF('[1]371 Community Livestock Assets '!M12="","",'[1]371 Community Livestock Assets '!M12)</f>
        <v/>
      </c>
      <c r="O9" s="71" t="str">
        <f>IF('[1]371 Community Livestock Assets '!N12="","",'[1]371 Community Livestock Assets '!N12)</f>
        <v/>
      </c>
      <c r="P9" s="71" t="str">
        <f>IF('[1]371 Community Livestock Assets '!O12="","",'[1]371 Community Livestock Assets '!O12)</f>
        <v/>
      </c>
      <c r="Q9" s="71" t="str">
        <f>IF('[1]371 Community Livestock Assets '!P12="","",'[1]371 Community Livestock Assets '!P12)</f>
        <v/>
      </c>
      <c r="R9" s="71" t="str">
        <f>IF('[1]371 Community Livestock Assets '!Q12="","",'[1]371 Community Livestock Assets '!Q12)</f>
        <v/>
      </c>
      <c r="S9" s="71" t="str">
        <f>IF('[1]371 Community Livestock Assets '!R12="","",'[1]371 Community Livestock Assets '!R12)</f>
        <v/>
      </c>
      <c r="T9" s="71" t="str">
        <f>IF('[1]371 Community Livestock Assets '!S12="","",'[1]371 Community Livestock Assets '!S12)</f>
        <v/>
      </c>
      <c r="U9" s="71" t="str">
        <f>IF('[1]371 Community Livestock Assets '!T12="","",'[1]371 Community Livestock Assets '!T12)</f>
        <v/>
      </c>
      <c r="V9" s="71" t="str">
        <f>IF('[1]371 Community Livestock Assets '!U12="","",'[1]371 Community Livestock Assets '!U12)</f>
        <v/>
      </c>
      <c r="W9" s="71" t="str">
        <f>IF('[1]371 Community Livestock Assets '!V12="","",'[1]371 Community Livestock Assets '!V12)</f>
        <v/>
      </c>
      <c r="X9" s="71" t="str">
        <f>IF('[1]371 Community Livestock Assets '!W12="","",'[1]371 Community Livestock Assets '!W12)</f>
        <v/>
      </c>
      <c r="Y9" s="71" t="str">
        <f>IF('[1]371 Community Livestock Assets '!X12="","",'[1]371 Community Livestock Assets '!X12)</f>
        <v/>
      </c>
      <c r="Z9" s="71" t="str">
        <f>IF('[1]371 Community Livestock Assets '!Y12="","",'[1]371 Community Livestock Assets '!Y12)</f>
        <v/>
      </c>
      <c r="AA9" s="71" t="str">
        <f>IF('[1]371 Community Livestock Assets '!Z12="","",'[1]371 Community Livestock Assets '!Z12)</f>
        <v/>
      </c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</row>
    <row r="10" spans="1:53" s="39" customFormat="1" ht="17" hidden="1" customHeight="1">
      <c r="A10" s="84">
        <f>A8*3</f>
        <v>12</v>
      </c>
      <c r="B10" s="93" t="str">
        <f>IF('[1]371 Community Livestock Assets '!B12=0," ",'[1]371 Community Livestock Assets '!B12)</f>
        <v xml:space="preserve"> </v>
      </c>
      <c r="C10" s="93" t="str">
        <f>IF('[1]371 Community Livestock Assets '!C13=0," ",'[1]371 Community Livestock Assets '!C13)</f>
        <v>Poor</v>
      </c>
      <c r="D10" s="88" t="str">
        <f t="shared" si="3"/>
        <v>Poor</v>
      </c>
      <c r="E10" s="71">
        <f>IF('[1]371 Community Livestock Assets '!D13="","",'[1]371 Community Livestock Assets '!D13)</f>
        <v>0</v>
      </c>
      <c r="F10" s="71">
        <f>IF('[1]371 Community Livestock Assets '!E13="","",'[1]371 Community Livestock Assets '!E13)</f>
        <v>0</v>
      </c>
      <c r="G10" s="71">
        <f>IF('[1]371 Community Livestock Assets '!F13="","",'[1]371 Community Livestock Assets '!F13)</f>
        <v>4</v>
      </c>
      <c r="H10" s="71">
        <f>IF('[1]371 Community Livestock Assets '!G13="","",'[1]371 Community Livestock Assets '!G13)</f>
        <v>0</v>
      </c>
      <c r="I10" s="71">
        <f>IF('[1]371 Community Livestock Assets '!H13="","",'[1]371 Community Livestock Assets '!H13)</f>
        <v>0</v>
      </c>
      <c r="J10" s="71">
        <f>IF('[1]371 Community Livestock Assets '!I13="","",'[1]371 Community Livestock Assets '!I13)</f>
        <v>0</v>
      </c>
      <c r="K10" s="71" t="str">
        <f>IF('[1]371 Community Livestock Assets '!J13="","",'[1]371 Community Livestock Assets '!J13)</f>
        <v/>
      </c>
      <c r="L10" s="71" t="str">
        <f>IF('[1]371 Community Livestock Assets '!K13="","",'[1]371 Community Livestock Assets '!K13)</f>
        <v/>
      </c>
      <c r="M10" s="71" t="str">
        <f>IF('[1]371 Community Livestock Assets '!L13="","",'[1]371 Community Livestock Assets '!L13)</f>
        <v/>
      </c>
      <c r="N10" s="71" t="str">
        <f>IF('[1]371 Community Livestock Assets '!M13="","",'[1]371 Community Livestock Assets '!M13)</f>
        <v/>
      </c>
      <c r="O10" s="71" t="str">
        <f>IF('[1]371 Community Livestock Assets '!N13="","",'[1]371 Community Livestock Assets '!N13)</f>
        <v/>
      </c>
      <c r="P10" s="71" t="str">
        <f>IF('[1]371 Community Livestock Assets '!O13="","",'[1]371 Community Livestock Assets '!O13)</f>
        <v/>
      </c>
      <c r="Q10" s="71" t="str">
        <f>IF('[1]371 Community Livestock Assets '!P13="","",'[1]371 Community Livestock Assets '!P13)</f>
        <v/>
      </c>
      <c r="R10" s="71" t="str">
        <f>IF('[1]371 Community Livestock Assets '!Q13="","",'[1]371 Community Livestock Assets '!Q13)</f>
        <v/>
      </c>
      <c r="S10" s="71" t="str">
        <f>IF('[1]371 Community Livestock Assets '!R13="","",'[1]371 Community Livestock Assets '!R13)</f>
        <v/>
      </c>
      <c r="T10" s="71" t="str">
        <f>IF('[1]371 Community Livestock Assets '!S13="","",'[1]371 Community Livestock Assets '!S13)</f>
        <v/>
      </c>
      <c r="U10" s="71" t="str">
        <f>IF('[1]371 Community Livestock Assets '!T13="","",'[1]371 Community Livestock Assets '!T13)</f>
        <v/>
      </c>
      <c r="V10" s="71" t="str">
        <f>IF('[1]371 Community Livestock Assets '!U13="","",'[1]371 Community Livestock Assets '!U13)</f>
        <v/>
      </c>
      <c r="W10" s="71" t="str">
        <f>IF('[1]371 Community Livestock Assets '!V13="","",'[1]371 Community Livestock Assets '!V13)</f>
        <v/>
      </c>
      <c r="X10" s="71" t="str">
        <f>IF('[1]371 Community Livestock Assets '!W13="","",'[1]371 Community Livestock Assets '!W13)</f>
        <v/>
      </c>
      <c r="Y10" s="71" t="str">
        <f>IF('[1]371 Community Livestock Assets '!X13="","",'[1]371 Community Livestock Assets '!X13)</f>
        <v/>
      </c>
      <c r="Z10" s="71" t="str">
        <f>IF('[1]371 Community Livestock Assets '!Y13="","",'[1]371 Community Livestock Assets '!Y13)</f>
        <v/>
      </c>
      <c r="AA10" s="71" t="str">
        <f>IF('[1]371 Community Livestock Assets '!Z13="","",'[1]371 Community Livestock Assets '!Z13)</f>
        <v/>
      </c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</row>
    <row r="11" spans="1:53" s="39" customFormat="1" ht="17" hidden="1" customHeight="1">
      <c r="A11" s="80" t="s">
        <v>25</v>
      </c>
      <c r="B11" s="93" t="str">
        <f>IF('[1]371 Community Livestock Assets '!B13=0," ",'[1]371 Community Livestock Assets '!B13)</f>
        <v>Mukono Lusera</v>
      </c>
      <c r="C11" s="93" t="str">
        <f>IF('[1]371 Community Livestock Assets '!C14=0," ",'[1]371 Community Livestock Assets '!C14)</f>
        <v>Middle</v>
      </c>
      <c r="D11" s="88" t="str">
        <f t="shared" si="3"/>
        <v>Middle      Mukono Lusera</v>
      </c>
      <c r="E11" s="71">
        <f>IF('[1]371 Community Livestock Assets '!D14="","",'[1]371 Community Livestock Assets '!D14)</f>
        <v>0</v>
      </c>
      <c r="F11" s="71">
        <f>IF('[1]371 Community Livestock Assets '!E14="","",'[1]371 Community Livestock Assets '!E14)</f>
        <v>6</v>
      </c>
      <c r="G11" s="71">
        <f>IF('[1]371 Community Livestock Assets '!F14="","",'[1]371 Community Livestock Assets '!F14)</f>
        <v>5</v>
      </c>
      <c r="H11" s="71">
        <f>IF('[1]371 Community Livestock Assets '!G14="","",'[1]371 Community Livestock Assets '!G14)</f>
        <v>0</v>
      </c>
      <c r="I11" s="71">
        <f>IF('[1]371 Community Livestock Assets '!H14="","",'[1]371 Community Livestock Assets '!H14)</f>
        <v>0</v>
      </c>
      <c r="J11" s="71">
        <f>IF('[1]371 Community Livestock Assets '!I14="","",'[1]371 Community Livestock Assets '!I14)</f>
        <v>0</v>
      </c>
      <c r="K11" s="71" t="str">
        <f>IF('[1]371 Community Livestock Assets '!J14="","",'[1]371 Community Livestock Assets '!J14)</f>
        <v/>
      </c>
      <c r="L11" s="71" t="str">
        <f>IF('[1]371 Community Livestock Assets '!K14="","",'[1]371 Community Livestock Assets '!K14)</f>
        <v/>
      </c>
      <c r="M11" s="71" t="str">
        <f>IF('[1]371 Community Livestock Assets '!L14="","",'[1]371 Community Livestock Assets '!L14)</f>
        <v/>
      </c>
      <c r="N11" s="71" t="str">
        <f>IF('[1]371 Community Livestock Assets '!M14="","",'[1]371 Community Livestock Assets '!M14)</f>
        <v/>
      </c>
      <c r="O11" s="71" t="str">
        <f>IF('[1]371 Community Livestock Assets '!N14="","",'[1]371 Community Livestock Assets '!N14)</f>
        <v/>
      </c>
      <c r="P11" s="71" t="str">
        <f>IF('[1]371 Community Livestock Assets '!O14="","",'[1]371 Community Livestock Assets '!O14)</f>
        <v/>
      </c>
      <c r="Q11" s="71" t="str">
        <f>IF('[1]371 Community Livestock Assets '!P14="","",'[1]371 Community Livestock Assets '!P14)</f>
        <v/>
      </c>
      <c r="R11" s="71" t="str">
        <f>IF('[1]371 Community Livestock Assets '!Q14="","",'[1]371 Community Livestock Assets '!Q14)</f>
        <v/>
      </c>
      <c r="S11" s="71" t="str">
        <f>IF('[1]371 Community Livestock Assets '!R14="","",'[1]371 Community Livestock Assets '!R14)</f>
        <v/>
      </c>
      <c r="T11" s="71" t="str">
        <f>IF('[1]371 Community Livestock Assets '!S14="","",'[1]371 Community Livestock Assets '!S14)</f>
        <v/>
      </c>
      <c r="U11" s="71" t="str">
        <f>IF('[1]371 Community Livestock Assets '!T14="","",'[1]371 Community Livestock Assets '!T14)</f>
        <v/>
      </c>
      <c r="V11" s="71" t="str">
        <f>IF('[1]371 Community Livestock Assets '!U14="","",'[1]371 Community Livestock Assets '!U14)</f>
        <v/>
      </c>
      <c r="W11" s="71" t="str">
        <f>IF('[1]371 Community Livestock Assets '!V14="","",'[1]371 Community Livestock Assets '!V14)</f>
        <v/>
      </c>
      <c r="X11" s="71" t="str">
        <f>IF('[1]371 Community Livestock Assets '!W14="","",'[1]371 Community Livestock Assets '!W14)</f>
        <v/>
      </c>
      <c r="Y11" s="71" t="str">
        <f>IF('[1]371 Community Livestock Assets '!X14="","",'[1]371 Community Livestock Assets '!X14)</f>
        <v/>
      </c>
      <c r="Z11" s="71" t="str">
        <f>IF('[1]371 Community Livestock Assets '!Y14="","",'[1]371 Community Livestock Assets '!Y14)</f>
        <v/>
      </c>
      <c r="AA11" s="71" t="str">
        <f>IF('[1]371 Community Livestock Assets '!Z14="","",'[1]371 Community Livestock Assets '!Z14)</f>
        <v/>
      </c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</row>
    <row r="12" spans="1:53" s="39" customFormat="1" ht="17" hidden="1" customHeight="1">
      <c r="A12" s="84">
        <f>COUNTIF(E1:AA1,"&lt;&gt; ")</f>
        <v>6</v>
      </c>
      <c r="B12" s="93" t="str">
        <f>IF('[1]371 Community Livestock Assets '!B14=0," ",'[1]371 Community Livestock Assets '!B14)</f>
        <v xml:space="preserve"> </v>
      </c>
      <c r="C12" s="93" t="str">
        <f>IF('[1]371 Community Livestock Assets '!C15=0," ",'[1]371 Community Livestock Assets '!C15)</f>
        <v>Better Off</v>
      </c>
      <c r="D12" s="88" t="str">
        <f t="shared" si="3"/>
        <v>Better Off</v>
      </c>
      <c r="E12" s="71">
        <f>IF('[1]371 Community Livestock Assets '!D15="","",'[1]371 Community Livestock Assets '!D15)</f>
        <v>0</v>
      </c>
      <c r="F12" s="71">
        <f>IF('[1]371 Community Livestock Assets '!E15="","",'[1]371 Community Livestock Assets '!E15)</f>
        <v>18</v>
      </c>
      <c r="G12" s="71">
        <f>IF('[1]371 Community Livestock Assets '!F15="","",'[1]371 Community Livestock Assets '!F15)</f>
        <v>350</v>
      </c>
      <c r="H12" s="71">
        <f>IF('[1]371 Community Livestock Assets '!G15="","",'[1]371 Community Livestock Assets '!G15)</f>
        <v>60</v>
      </c>
      <c r="I12" s="71">
        <f>IF('[1]371 Community Livestock Assets '!H15="","",'[1]371 Community Livestock Assets '!H15)</f>
        <v>22</v>
      </c>
      <c r="J12" s="71">
        <f>IF('[1]371 Community Livestock Assets '!I15="","",'[1]371 Community Livestock Assets '!I15)</f>
        <v>0</v>
      </c>
      <c r="K12" s="71" t="str">
        <f>IF('[1]371 Community Livestock Assets '!J15="","",'[1]371 Community Livestock Assets '!J15)</f>
        <v/>
      </c>
      <c r="L12" s="71" t="str">
        <f>IF('[1]371 Community Livestock Assets '!K15="","",'[1]371 Community Livestock Assets '!K15)</f>
        <v/>
      </c>
      <c r="M12" s="71" t="str">
        <f>IF('[1]371 Community Livestock Assets '!L15="","",'[1]371 Community Livestock Assets '!L15)</f>
        <v/>
      </c>
      <c r="N12" s="71" t="str">
        <f>IF('[1]371 Community Livestock Assets '!M15="","",'[1]371 Community Livestock Assets '!M15)</f>
        <v/>
      </c>
      <c r="O12" s="71" t="str">
        <f>IF('[1]371 Community Livestock Assets '!N15="","",'[1]371 Community Livestock Assets '!N15)</f>
        <v/>
      </c>
      <c r="P12" s="71" t="str">
        <f>IF('[1]371 Community Livestock Assets '!O15="","",'[1]371 Community Livestock Assets '!O15)</f>
        <v/>
      </c>
      <c r="Q12" s="71" t="str">
        <f>IF('[1]371 Community Livestock Assets '!P15="","",'[1]371 Community Livestock Assets '!P15)</f>
        <v/>
      </c>
      <c r="R12" s="71" t="str">
        <f>IF('[1]371 Community Livestock Assets '!Q15="","",'[1]371 Community Livestock Assets '!Q15)</f>
        <v/>
      </c>
      <c r="S12" s="71" t="str">
        <f>IF('[1]371 Community Livestock Assets '!R15="","",'[1]371 Community Livestock Assets '!R15)</f>
        <v/>
      </c>
      <c r="T12" s="71" t="str">
        <f>IF('[1]371 Community Livestock Assets '!S15="","",'[1]371 Community Livestock Assets '!S15)</f>
        <v/>
      </c>
      <c r="U12" s="71" t="str">
        <f>IF('[1]371 Community Livestock Assets '!T15="","",'[1]371 Community Livestock Assets '!T15)</f>
        <v/>
      </c>
      <c r="V12" s="71" t="str">
        <f>IF('[1]371 Community Livestock Assets '!U15="","",'[1]371 Community Livestock Assets '!U15)</f>
        <v/>
      </c>
      <c r="W12" s="71" t="str">
        <f>IF('[1]371 Community Livestock Assets '!V15="","",'[1]371 Community Livestock Assets '!V15)</f>
        <v/>
      </c>
      <c r="X12" s="71" t="str">
        <f>IF('[1]371 Community Livestock Assets '!W15="","",'[1]371 Community Livestock Assets '!W15)</f>
        <v/>
      </c>
      <c r="Y12" s="71" t="str">
        <f>IF('[1]371 Community Livestock Assets '!X15="","",'[1]371 Community Livestock Assets '!X15)</f>
        <v/>
      </c>
      <c r="Z12" s="71" t="str">
        <f>IF('[1]371 Community Livestock Assets '!Y15="","",'[1]371 Community Livestock Assets '!Y15)</f>
        <v/>
      </c>
      <c r="AA12" s="71" t="str">
        <f>IF('[1]371 Community Livestock Assets '!Z15="","",'[1]371 Community Livestock Assets '!Z15)</f>
        <v/>
      </c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</row>
    <row r="13" spans="1:53" s="39" customFormat="1" ht="17" hidden="1" customHeight="1">
      <c r="A13" s="50"/>
      <c r="B13" s="93" t="str">
        <f>IF('[1]371 Community Livestock Assets '!B15=0," ",'[1]371 Community Livestock Assets '!B15)</f>
        <v xml:space="preserve"> </v>
      </c>
      <c r="C13" s="93" t="str">
        <f>IF('[1]371 Community Livestock Assets '!C16=0," ",'[1]371 Community Livestock Assets '!C16)</f>
        <v>Poor</v>
      </c>
      <c r="D13" s="88" t="str">
        <f t="shared" si="3"/>
        <v>Poor</v>
      </c>
      <c r="E13" s="71">
        <f>IF('[1]371 Community Livestock Assets '!D16="","",'[1]371 Community Livestock Assets '!D16)</f>
        <v>0</v>
      </c>
      <c r="F13" s="71">
        <f>IF('[1]371 Community Livestock Assets '!E16="","",'[1]371 Community Livestock Assets '!E16)</f>
        <v>6</v>
      </c>
      <c r="G13" s="71">
        <f>IF('[1]371 Community Livestock Assets '!F16="","",'[1]371 Community Livestock Assets '!F16)</f>
        <v>5</v>
      </c>
      <c r="H13" s="71">
        <f>IF('[1]371 Community Livestock Assets '!G16="","",'[1]371 Community Livestock Assets '!G16)</f>
        <v>0</v>
      </c>
      <c r="I13" s="71">
        <f>IF('[1]371 Community Livestock Assets '!H16="","",'[1]371 Community Livestock Assets '!H16)</f>
        <v>0</v>
      </c>
      <c r="J13" s="71">
        <f>IF('[1]371 Community Livestock Assets '!I16="","",'[1]371 Community Livestock Assets '!I16)</f>
        <v>0</v>
      </c>
      <c r="K13" s="71" t="str">
        <f>IF('[1]371 Community Livestock Assets '!J16="","",'[1]371 Community Livestock Assets '!J16)</f>
        <v/>
      </c>
      <c r="L13" s="71" t="str">
        <f>IF('[1]371 Community Livestock Assets '!K16="","",'[1]371 Community Livestock Assets '!K16)</f>
        <v/>
      </c>
      <c r="M13" s="71" t="str">
        <f>IF('[1]371 Community Livestock Assets '!L16="","",'[1]371 Community Livestock Assets '!L16)</f>
        <v/>
      </c>
      <c r="N13" s="71" t="str">
        <f>IF('[1]371 Community Livestock Assets '!M16="","",'[1]371 Community Livestock Assets '!M16)</f>
        <v/>
      </c>
      <c r="O13" s="71" t="str">
        <f>IF('[1]371 Community Livestock Assets '!N16="","",'[1]371 Community Livestock Assets '!N16)</f>
        <v/>
      </c>
      <c r="P13" s="71" t="str">
        <f>IF('[1]371 Community Livestock Assets '!O16="","",'[1]371 Community Livestock Assets '!O16)</f>
        <v/>
      </c>
      <c r="Q13" s="71" t="str">
        <f>IF('[1]371 Community Livestock Assets '!P16="","",'[1]371 Community Livestock Assets '!P16)</f>
        <v/>
      </c>
      <c r="R13" s="71" t="str">
        <f>IF('[1]371 Community Livestock Assets '!Q16="","",'[1]371 Community Livestock Assets '!Q16)</f>
        <v/>
      </c>
      <c r="S13" s="71" t="str">
        <f>IF('[1]371 Community Livestock Assets '!R16="","",'[1]371 Community Livestock Assets '!R16)</f>
        <v/>
      </c>
      <c r="T13" s="71" t="str">
        <f>IF('[1]371 Community Livestock Assets '!S16="","",'[1]371 Community Livestock Assets '!S16)</f>
        <v/>
      </c>
      <c r="U13" s="71" t="str">
        <f>IF('[1]371 Community Livestock Assets '!T16="","",'[1]371 Community Livestock Assets '!T16)</f>
        <v/>
      </c>
      <c r="V13" s="71" t="str">
        <f>IF('[1]371 Community Livestock Assets '!U16="","",'[1]371 Community Livestock Assets '!U16)</f>
        <v/>
      </c>
      <c r="W13" s="71" t="str">
        <f>IF('[1]371 Community Livestock Assets '!V16="","",'[1]371 Community Livestock Assets '!V16)</f>
        <v/>
      </c>
      <c r="X13" s="71" t="str">
        <f>IF('[1]371 Community Livestock Assets '!W16="","",'[1]371 Community Livestock Assets '!W16)</f>
        <v/>
      </c>
      <c r="Y13" s="71" t="str">
        <f>IF('[1]371 Community Livestock Assets '!X16="","",'[1]371 Community Livestock Assets '!X16)</f>
        <v/>
      </c>
      <c r="Z13" s="71" t="str">
        <f>IF('[1]371 Community Livestock Assets '!Y16="","",'[1]371 Community Livestock Assets '!Y16)</f>
        <v/>
      </c>
      <c r="AA13" s="71" t="str">
        <f>IF('[1]371 Community Livestock Assets '!Z16="","",'[1]371 Community Livestock Assets '!Z16)</f>
        <v/>
      </c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</row>
    <row r="14" spans="1:53" s="39" customFormat="1" ht="17" hidden="1" customHeight="1">
      <c r="A14" s="80" t="s">
        <v>26</v>
      </c>
      <c r="B14" s="93" t="str">
        <f>IF('[1]371 Community Livestock Assets '!B16=0," ",'[1]371 Community Livestock Assets '!B16)</f>
        <v>Mukono Nakisunga</v>
      </c>
      <c r="C14" s="93" t="str">
        <f>IF('[1]371 Community Livestock Assets '!C17=0," ",'[1]371 Community Livestock Assets '!C17)</f>
        <v>Middle</v>
      </c>
      <c r="D14" s="88" t="str">
        <f t="shared" si="3"/>
        <v>Middle      Mukono Nakisunga</v>
      </c>
      <c r="E14" s="71">
        <f>IF('[1]371 Community Livestock Assets '!D17="","",'[1]371 Community Livestock Assets '!D17)</f>
        <v>0</v>
      </c>
      <c r="F14" s="71">
        <f>IF('[1]371 Community Livestock Assets '!E17="","",'[1]371 Community Livestock Assets '!E17)</f>
        <v>6</v>
      </c>
      <c r="G14" s="71">
        <f>IF('[1]371 Community Livestock Assets '!F17="","",'[1]371 Community Livestock Assets '!F17)</f>
        <v>0</v>
      </c>
      <c r="H14" s="71">
        <f>IF('[1]371 Community Livestock Assets '!G17="","",'[1]371 Community Livestock Assets '!G17)</f>
        <v>2</v>
      </c>
      <c r="I14" s="71">
        <f>IF('[1]371 Community Livestock Assets '!H17="","",'[1]371 Community Livestock Assets '!H17)</f>
        <v>10</v>
      </c>
      <c r="J14" s="71">
        <f>IF('[1]371 Community Livestock Assets '!I17="","",'[1]371 Community Livestock Assets '!I17)</f>
        <v>3</v>
      </c>
      <c r="K14" s="71" t="str">
        <f>IF('[1]371 Community Livestock Assets '!J17="","",'[1]371 Community Livestock Assets '!J17)</f>
        <v/>
      </c>
      <c r="L14" s="71" t="str">
        <f>IF('[1]371 Community Livestock Assets '!K17="","",'[1]371 Community Livestock Assets '!K17)</f>
        <v/>
      </c>
      <c r="M14" s="71" t="str">
        <f>IF('[1]371 Community Livestock Assets '!L17="","",'[1]371 Community Livestock Assets '!L17)</f>
        <v/>
      </c>
      <c r="N14" s="71" t="str">
        <f>IF('[1]371 Community Livestock Assets '!M17="","",'[1]371 Community Livestock Assets '!M17)</f>
        <v/>
      </c>
      <c r="O14" s="71" t="str">
        <f>IF('[1]371 Community Livestock Assets '!N17="","",'[1]371 Community Livestock Assets '!N17)</f>
        <v/>
      </c>
      <c r="P14" s="71" t="str">
        <f>IF('[1]371 Community Livestock Assets '!O17="","",'[1]371 Community Livestock Assets '!O17)</f>
        <v/>
      </c>
      <c r="Q14" s="71" t="str">
        <f>IF('[1]371 Community Livestock Assets '!P17="","",'[1]371 Community Livestock Assets '!P17)</f>
        <v/>
      </c>
      <c r="R14" s="71" t="str">
        <f>IF('[1]371 Community Livestock Assets '!Q17="","",'[1]371 Community Livestock Assets '!Q17)</f>
        <v/>
      </c>
      <c r="S14" s="71" t="str">
        <f>IF('[1]371 Community Livestock Assets '!R17="","",'[1]371 Community Livestock Assets '!R17)</f>
        <v/>
      </c>
      <c r="T14" s="71" t="str">
        <f>IF('[1]371 Community Livestock Assets '!S17="","",'[1]371 Community Livestock Assets '!S17)</f>
        <v/>
      </c>
      <c r="U14" s="71" t="str">
        <f>IF('[1]371 Community Livestock Assets '!T17="","",'[1]371 Community Livestock Assets '!T17)</f>
        <v/>
      </c>
      <c r="V14" s="71" t="str">
        <f>IF('[1]371 Community Livestock Assets '!U17="","",'[1]371 Community Livestock Assets '!U17)</f>
        <v/>
      </c>
      <c r="W14" s="71" t="str">
        <f>IF('[1]371 Community Livestock Assets '!V17="","",'[1]371 Community Livestock Assets '!V17)</f>
        <v/>
      </c>
      <c r="X14" s="71" t="str">
        <f>IF('[1]371 Community Livestock Assets '!W17="","",'[1]371 Community Livestock Assets '!W17)</f>
        <v/>
      </c>
      <c r="Y14" s="71" t="str">
        <f>IF('[1]371 Community Livestock Assets '!X17="","",'[1]371 Community Livestock Assets '!X17)</f>
        <v/>
      </c>
      <c r="Z14" s="71" t="str">
        <f>IF('[1]371 Community Livestock Assets '!Y17="","",'[1]371 Community Livestock Assets '!Y17)</f>
        <v/>
      </c>
      <c r="AA14" s="71" t="str">
        <f>IF('[1]371 Community Livestock Assets '!Z17="","",'[1]371 Community Livestock Assets '!Z17)</f>
        <v/>
      </c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</row>
    <row r="15" spans="1:53" s="39" customFormat="1" ht="18" hidden="1" customHeight="1">
      <c r="A15" s="84" t="str">
        <f>'Disposable Income Data'!A3</f>
        <v>Banana Coffee Piggery</v>
      </c>
      <c r="B15" s="93" t="str">
        <f>IF('[1]371 Community Livestock Assets '!B17=0," ",'[1]371 Community Livestock Assets '!B17)</f>
        <v xml:space="preserve"> </v>
      </c>
      <c r="C15" s="93" t="str">
        <f>IF('[1]371 Community Livestock Assets '!C18=0," ",'[1]371 Community Livestock Assets '!C18)</f>
        <v>Better Off</v>
      </c>
      <c r="D15" s="88" t="str">
        <f t="shared" si="3"/>
        <v>Better Off</v>
      </c>
      <c r="E15" s="71">
        <f>IF('[1]371 Community Livestock Assets '!D18="","",'[1]371 Community Livestock Assets '!D18)</f>
        <v>4</v>
      </c>
      <c r="F15" s="71">
        <f>IF('[1]371 Community Livestock Assets '!E18="","",'[1]371 Community Livestock Assets '!E18)</f>
        <v>12</v>
      </c>
      <c r="G15" s="71">
        <f>IF('[1]371 Community Livestock Assets '!F18="","",'[1]371 Community Livestock Assets '!F18)</f>
        <v>25</v>
      </c>
      <c r="H15" s="71">
        <f>IF('[1]371 Community Livestock Assets '!G18="","",'[1]371 Community Livestock Assets '!G18)</f>
        <v>8</v>
      </c>
      <c r="I15" s="71">
        <f>IF('[1]371 Community Livestock Assets '!H18="","",'[1]371 Community Livestock Assets '!H18)</f>
        <v>0</v>
      </c>
      <c r="J15" s="71">
        <f>IF('[1]371 Community Livestock Assets '!I18="","",'[1]371 Community Livestock Assets '!I18)</f>
        <v>0</v>
      </c>
      <c r="K15" s="71" t="str">
        <f>IF('[1]371 Community Livestock Assets '!J18="","",'[1]371 Community Livestock Assets '!J18)</f>
        <v/>
      </c>
      <c r="L15" s="71" t="str">
        <f>IF('[1]371 Community Livestock Assets '!K18="","",'[1]371 Community Livestock Assets '!K18)</f>
        <v/>
      </c>
      <c r="M15" s="71" t="str">
        <f>IF('[1]371 Community Livestock Assets '!L18="","",'[1]371 Community Livestock Assets '!L18)</f>
        <v/>
      </c>
      <c r="N15" s="71" t="str">
        <f>IF('[1]371 Community Livestock Assets '!M18="","",'[1]371 Community Livestock Assets '!M18)</f>
        <v/>
      </c>
      <c r="O15" s="71" t="str">
        <f>IF('[1]371 Community Livestock Assets '!N18="","",'[1]371 Community Livestock Assets '!N18)</f>
        <v/>
      </c>
      <c r="P15" s="71" t="str">
        <f>IF('[1]371 Community Livestock Assets '!O18="","",'[1]371 Community Livestock Assets '!O18)</f>
        <v/>
      </c>
      <c r="Q15" s="71" t="str">
        <f>IF('[1]371 Community Livestock Assets '!P18="","",'[1]371 Community Livestock Assets '!P18)</f>
        <v/>
      </c>
      <c r="R15" s="71" t="str">
        <f>IF('[1]371 Community Livestock Assets '!Q18="","",'[1]371 Community Livestock Assets '!Q18)</f>
        <v/>
      </c>
      <c r="S15" s="71" t="str">
        <f>IF('[1]371 Community Livestock Assets '!R18="","",'[1]371 Community Livestock Assets '!R18)</f>
        <v/>
      </c>
      <c r="T15" s="71" t="str">
        <f>IF('[1]371 Community Livestock Assets '!S18="","",'[1]371 Community Livestock Assets '!S18)</f>
        <v/>
      </c>
      <c r="U15" s="71" t="str">
        <f>IF('[1]371 Community Livestock Assets '!T18="","",'[1]371 Community Livestock Assets '!T18)</f>
        <v/>
      </c>
      <c r="V15" s="71" t="str">
        <f>IF('[1]371 Community Livestock Assets '!U18="","",'[1]371 Community Livestock Assets '!U18)</f>
        <v/>
      </c>
      <c r="W15" s="71" t="str">
        <f>IF('[1]371 Community Livestock Assets '!V18="","",'[1]371 Community Livestock Assets '!V18)</f>
        <v/>
      </c>
      <c r="X15" s="71" t="str">
        <f>IF('[1]371 Community Livestock Assets '!W18="","",'[1]371 Community Livestock Assets '!W18)</f>
        <v/>
      </c>
      <c r="Y15" s="71" t="str">
        <f>IF('[1]371 Community Livestock Assets '!X18="","",'[1]371 Community Livestock Assets '!X18)</f>
        <v/>
      </c>
      <c r="Z15" s="71" t="str">
        <f>IF('[1]371 Community Livestock Assets '!Y18="","",'[1]371 Community Livestock Assets '!Y18)</f>
        <v/>
      </c>
      <c r="AA15" s="71" t="str">
        <f>IF('[1]371 Community Livestock Assets '!Z18="","",'[1]371 Community Livestock Assets '!Z18)</f>
        <v/>
      </c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</row>
    <row r="16" spans="1:53" s="39" customFormat="1" ht="18" hidden="1" customHeight="1">
      <c r="A16" s="50"/>
      <c r="B16" s="93" t="str">
        <f>IF('[1]371 Community Livestock Assets '!B18=0," ",'[1]371 Community Livestock Assets '!B18)</f>
        <v xml:space="preserve"> </v>
      </c>
      <c r="C16" s="93" t="str">
        <f>IF('[1]371 Community Livestock Assets '!C19=0," ",'[1]371 Community Livestock Assets '!C19)</f>
        <v>Poor</v>
      </c>
      <c r="D16" s="88" t="str">
        <f t="shared" si="3"/>
        <v>Poor</v>
      </c>
      <c r="E16" s="71">
        <f>IF('[1]371 Community Livestock Assets '!D19="","",'[1]371 Community Livestock Assets '!D19)</f>
        <v>0</v>
      </c>
      <c r="F16" s="71">
        <f>IF('[1]371 Community Livestock Assets '!E19="","",'[1]371 Community Livestock Assets '!E19)</f>
        <v>0</v>
      </c>
      <c r="G16" s="71">
        <f>IF('[1]371 Community Livestock Assets '!F19="","",'[1]371 Community Livestock Assets '!F19)</f>
        <v>3</v>
      </c>
      <c r="H16" s="71">
        <f>IF('[1]371 Community Livestock Assets '!G19="","",'[1]371 Community Livestock Assets '!G19)</f>
        <v>1</v>
      </c>
      <c r="I16" s="71">
        <f>IF('[1]371 Community Livestock Assets '!H19="","",'[1]371 Community Livestock Assets '!H19)</f>
        <v>0</v>
      </c>
      <c r="J16" s="71">
        <f>IF('[1]371 Community Livestock Assets '!I19="","",'[1]371 Community Livestock Assets '!I19)</f>
        <v>0</v>
      </c>
      <c r="K16" s="71" t="str">
        <f>IF('[1]371 Community Livestock Assets '!J19="","",'[1]371 Community Livestock Assets '!J19)</f>
        <v/>
      </c>
      <c r="L16" s="71" t="str">
        <f>IF('[1]371 Community Livestock Assets '!K19="","",'[1]371 Community Livestock Assets '!K19)</f>
        <v/>
      </c>
      <c r="M16" s="71" t="str">
        <f>IF('[1]371 Community Livestock Assets '!L19="","",'[1]371 Community Livestock Assets '!L19)</f>
        <v/>
      </c>
      <c r="N16" s="71" t="str">
        <f>IF('[1]371 Community Livestock Assets '!M19="","",'[1]371 Community Livestock Assets '!M19)</f>
        <v/>
      </c>
      <c r="O16" s="71" t="str">
        <f>IF('[1]371 Community Livestock Assets '!N19="","",'[1]371 Community Livestock Assets '!N19)</f>
        <v/>
      </c>
      <c r="P16" s="71" t="str">
        <f>IF('[1]371 Community Livestock Assets '!O19="","",'[1]371 Community Livestock Assets '!O19)</f>
        <v/>
      </c>
      <c r="Q16" s="71" t="str">
        <f>IF('[1]371 Community Livestock Assets '!P19="","",'[1]371 Community Livestock Assets '!P19)</f>
        <v/>
      </c>
      <c r="R16" s="71" t="str">
        <f>IF('[1]371 Community Livestock Assets '!Q19="","",'[1]371 Community Livestock Assets '!Q19)</f>
        <v/>
      </c>
      <c r="S16" s="71" t="str">
        <f>IF('[1]371 Community Livestock Assets '!R19="","",'[1]371 Community Livestock Assets '!R19)</f>
        <v/>
      </c>
      <c r="T16" s="71" t="str">
        <f>IF('[1]371 Community Livestock Assets '!S19="","",'[1]371 Community Livestock Assets '!S19)</f>
        <v/>
      </c>
      <c r="U16" s="71" t="str">
        <f>IF('[1]371 Community Livestock Assets '!T19="","",'[1]371 Community Livestock Assets '!T19)</f>
        <v/>
      </c>
      <c r="V16" s="71" t="str">
        <f>IF('[1]371 Community Livestock Assets '!U19="","",'[1]371 Community Livestock Assets '!U19)</f>
        <v/>
      </c>
      <c r="W16" s="71" t="str">
        <f>IF('[1]371 Community Livestock Assets '!V19="","",'[1]371 Community Livestock Assets '!V19)</f>
        <v/>
      </c>
      <c r="X16" s="71" t="str">
        <f>IF('[1]371 Community Livestock Assets '!W19="","",'[1]371 Community Livestock Assets '!W19)</f>
        <v/>
      </c>
      <c r="Y16" s="71" t="str">
        <f>IF('[1]371 Community Livestock Assets '!X19="","",'[1]371 Community Livestock Assets '!X19)</f>
        <v/>
      </c>
      <c r="Z16" s="71" t="str">
        <f>IF('[1]371 Community Livestock Assets '!Y19="","",'[1]371 Community Livestock Assets '!Y19)</f>
        <v/>
      </c>
      <c r="AA16" s="71" t="str">
        <f>IF('[1]371 Community Livestock Assets '!Z19="","",'[1]371 Community Livestock Assets '!Z19)</f>
        <v/>
      </c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</row>
    <row r="17" spans="1:53" s="39" customFormat="1" ht="17" hidden="1" customHeight="1">
      <c r="A17" s="80" t="s">
        <v>49</v>
      </c>
      <c r="B17" s="93" t="str">
        <f>IF('[1]371 Community Livestock Assets '!B19=0," ",'[1]371 Community Livestock Assets '!B19)</f>
        <v>Mukono Ntenjeru</v>
      </c>
      <c r="C17" s="93" t="str">
        <f>IF('[1]371 Community Livestock Assets '!C20=0," ",'[1]371 Community Livestock Assets '!C20)</f>
        <v>Middle</v>
      </c>
      <c r="D17" s="88" t="str">
        <f t="shared" si="3"/>
        <v>Middle      Mukono Ntenjeru</v>
      </c>
      <c r="E17" s="71">
        <f>IF('[1]371 Community Livestock Assets '!D20="","",'[1]371 Community Livestock Assets '!D20)</f>
        <v>2</v>
      </c>
      <c r="F17" s="71">
        <f>IF('[1]371 Community Livestock Assets '!E20="","",'[1]371 Community Livestock Assets '!E20)</f>
        <v>3</v>
      </c>
      <c r="G17" s="71">
        <f>IF('[1]371 Community Livestock Assets '!F20="","",'[1]371 Community Livestock Assets '!F20)</f>
        <v>6</v>
      </c>
      <c r="H17" s="71">
        <f>IF('[1]371 Community Livestock Assets '!G20="","",'[1]371 Community Livestock Assets '!G20)</f>
        <v>3</v>
      </c>
      <c r="I17" s="71">
        <f>IF('[1]371 Community Livestock Assets '!H20="","",'[1]371 Community Livestock Assets '!H20)</f>
        <v>0</v>
      </c>
      <c r="J17" s="71">
        <f>IF('[1]371 Community Livestock Assets '!I20="","",'[1]371 Community Livestock Assets '!I20)</f>
        <v>0</v>
      </c>
      <c r="K17" s="71" t="str">
        <f>IF('[1]371 Community Livestock Assets '!J20="","",'[1]371 Community Livestock Assets '!J20)</f>
        <v/>
      </c>
      <c r="L17" s="71" t="str">
        <f>IF('[1]371 Community Livestock Assets '!K20="","",'[1]371 Community Livestock Assets '!K20)</f>
        <v/>
      </c>
      <c r="M17" s="71" t="str">
        <f>IF('[1]371 Community Livestock Assets '!L20="","",'[1]371 Community Livestock Assets '!L20)</f>
        <v/>
      </c>
      <c r="N17" s="71" t="str">
        <f>IF('[1]371 Community Livestock Assets '!M20="","",'[1]371 Community Livestock Assets '!M20)</f>
        <v/>
      </c>
      <c r="O17" s="71" t="str">
        <f>IF('[1]371 Community Livestock Assets '!N20="","",'[1]371 Community Livestock Assets '!N20)</f>
        <v/>
      </c>
      <c r="P17" s="71" t="str">
        <f>IF('[1]371 Community Livestock Assets '!O20="","",'[1]371 Community Livestock Assets '!O20)</f>
        <v/>
      </c>
      <c r="Q17" s="71" t="str">
        <f>IF('[1]371 Community Livestock Assets '!P20="","",'[1]371 Community Livestock Assets '!P20)</f>
        <v/>
      </c>
      <c r="R17" s="71" t="str">
        <f>IF('[1]371 Community Livestock Assets '!Q20="","",'[1]371 Community Livestock Assets '!Q20)</f>
        <v/>
      </c>
      <c r="S17" s="71" t="str">
        <f>IF('[1]371 Community Livestock Assets '!R20="","",'[1]371 Community Livestock Assets '!R20)</f>
        <v/>
      </c>
      <c r="T17" s="71" t="str">
        <f>IF('[1]371 Community Livestock Assets '!S20="","",'[1]371 Community Livestock Assets '!S20)</f>
        <v/>
      </c>
      <c r="U17" s="71" t="str">
        <f>IF('[1]371 Community Livestock Assets '!T20="","",'[1]371 Community Livestock Assets '!T20)</f>
        <v/>
      </c>
      <c r="V17" s="71" t="str">
        <f>IF('[1]371 Community Livestock Assets '!U20="","",'[1]371 Community Livestock Assets '!U20)</f>
        <v/>
      </c>
      <c r="W17" s="71" t="str">
        <f>IF('[1]371 Community Livestock Assets '!V20="","",'[1]371 Community Livestock Assets '!V20)</f>
        <v/>
      </c>
      <c r="X17" s="71" t="str">
        <f>IF('[1]371 Community Livestock Assets '!W20="","",'[1]371 Community Livestock Assets '!W20)</f>
        <v/>
      </c>
      <c r="Y17" s="71" t="str">
        <f>IF('[1]371 Community Livestock Assets '!X20="","",'[1]371 Community Livestock Assets '!X20)</f>
        <v/>
      </c>
      <c r="Z17" s="71" t="str">
        <f>IF('[1]371 Community Livestock Assets '!Y20="","",'[1]371 Community Livestock Assets '!Y20)</f>
        <v/>
      </c>
      <c r="AA17" s="71" t="str">
        <f>IF('[1]371 Community Livestock Assets '!Z20="","",'[1]371 Community Livestock Assets '!Z20)</f>
        <v/>
      </c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</row>
    <row r="18" spans="1:53" s="39" customFormat="1" ht="17" hidden="1" customHeight="1">
      <c r="A18" s="84" t="str">
        <f>_xlfn.CONCAT(A15," LZ, LIvestock Assets")</f>
        <v>Banana Coffee Piggery LZ, LIvestock Assets</v>
      </c>
      <c r="B18" s="93" t="str">
        <f>IF('[1]371 Community Livestock Assets '!B20=0," ",'[1]371 Community Livestock Assets '!B20)</f>
        <v xml:space="preserve"> </v>
      </c>
      <c r="C18" s="93" t="str">
        <f>IF('[1]371 Community Livestock Assets '!C21=0," ",'[1]371 Community Livestock Assets '!C21)</f>
        <v>Better Off</v>
      </c>
      <c r="D18" s="88" t="str">
        <f t="shared" si="3"/>
        <v>Better Off</v>
      </c>
      <c r="E18" s="71">
        <f>IF('[1]371 Community Livestock Assets '!D21="","",'[1]371 Community Livestock Assets '!D21)</f>
        <v>3</v>
      </c>
      <c r="F18" s="71">
        <f>IF('[1]371 Community Livestock Assets '!E21="","",'[1]371 Community Livestock Assets '!E21)</f>
        <v>4</v>
      </c>
      <c r="G18" s="71">
        <f>IF('[1]371 Community Livestock Assets '!F21="","",'[1]371 Community Livestock Assets '!F21)</f>
        <v>13</v>
      </c>
      <c r="H18" s="71">
        <f>IF('[1]371 Community Livestock Assets '!G21="","",'[1]371 Community Livestock Assets '!G21)</f>
        <v>5</v>
      </c>
      <c r="I18" s="71">
        <f>IF('[1]371 Community Livestock Assets '!H21="","",'[1]371 Community Livestock Assets '!H21)</f>
        <v>0</v>
      </c>
      <c r="J18" s="71">
        <f>IF('[1]371 Community Livestock Assets '!I21="","",'[1]371 Community Livestock Assets '!I21)</f>
        <v>0</v>
      </c>
      <c r="K18" s="71" t="str">
        <f>IF('[1]371 Community Livestock Assets '!J21="","",'[1]371 Community Livestock Assets '!J21)</f>
        <v/>
      </c>
      <c r="L18" s="71" t="str">
        <f>IF('[1]371 Community Livestock Assets '!K21="","",'[1]371 Community Livestock Assets '!K21)</f>
        <v/>
      </c>
      <c r="M18" s="71" t="str">
        <f>IF('[1]371 Community Livestock Assets '!L21="","",'[1]371 Community Livestock Assets '!L21)</f>
        <v/>
      </c>
      <c r="N18" s="71" t="str">
        <f>IF('[1]371 Community Livestock Assets '!M21="","",'[1]371 Community Livestock Assets '!M21)</f>
        <v/>
      </c>
      <c r="O18" s="71" t="str">
        <f>IF('[1]371 Community Livestock Assets '!N21="","",'[1]371 Community Livestock Assets '!N21)</f>
        <v/>
      </c>
      <c r="P18" s="71" t="str">
        <f>IF('[1]371 Community Livestock Assets '!O21="","",'[1]371 Community Livestock Assets '!O21)</f>
        <v/>
      </c>
      <c r="Q18" s="71" t="str">
        <f>IF('[1]371 Community Livestock Assets '!P21="","",'[1]371 Community Livestock Assets '!P21)</f>
        <v/>
      </c>
      <c r="R18" s="71" t="str">
        <f>IF('[1]371 Community Livestock Assets '!Q21="","",'[1]371 Community Livestock Assets '!Q21)</f>
        <v/>
      </c>
      <c r="S18" s="71" t="str">
        <f>IF('[1]371 Community Livestock Assets '!R21="","",'[1]371 Community Livestock Assets '!R21)</f>
        <v/>
      </c>
      <c r="T18" s="71" t="str">
        <f>IF('[1]371 Community Livestock Assets '!S21="","",'[1]371 Community Livestock Assets '!S21)</f>
        <v/>
      </c>
      <c r="U18" s="71" t="str">
        <f>IF('[1]371 Community Livestock Assets '!T21="","",'[1]371 Community Livestock Assets '!T21)</f>
        <v/>
      </c>
      <c r="V18" s="71" t="str">
        <f>IF('[1]371 Community Livestock Assets '!U21="","",'[1]371 Community Livestock Assets '!U21)</f>
        <v/>
      </c>
      <c r="W18" s="71" t="str">
        <f>IF('[1]371 Community Livestock Assets '!V21="","",'[1]371 Community Livestock Assets '!V21)</f>
        <v/>
      </c>
      <c r="X18" s="71" t="str">
        <f>IF('[1]371 Community Livestock Assets '!W21="","",'[1]371 Community Livestock Assets '!W21)</f>
        <v/>
      </c>
      <c r="Y18" s="71" t="str">
        <f>IF('[1]371 Community Livestock Assets '!X21="","",'[1]371 Community Livestock Assets '!X21)</f>
        <v/>
      </c>
      <c r="Z18" s="71" t="str">
        <f>IF('[1]371 Community Livestock Assets '!Y21="","",'[1]371 Community Livestock Assets '!Y21)</f>
        <v/>
      </c>
      <c r="AA18" s="71" t="str">
        <f>IF('[1]371 Community Livestock Assets '!Z21="","",'[1]371 Community Livestock Assets '!Z21)</f>
        <v/>
      </c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</row>
    <row r="19" spans="1:53" s="39" customFormat="1" ht="17" hidden="1" customHeight="1">
      <c r="A19" s="50"/>
      <c r="B19" s="93" t="str">
        <f>IF('[1]371 Community Livestock Assets '!B21=0," ",'[1]371 Community Livestock Assets '!B21)</f>
        <v xml:space="preserve"> </v>
      </c>
      <c r="C19" s="93" t="str">
        <f>IF('[1]371 Community Livestock Assets '!C22=0," ",'[1]371 Community Livestock Assets '!C22)</f>
        <v xml:space="preserve"> </v>
      </c>
      <c r="D19" s="88" t="str">
        <f t="shared" si="3"/>
        <v xml:space="preserve"> </v>
      </c>
      <c r="E19" s="71" t="str">
        <f>IF('[1]371 Community Livestock Assets '!D22="","",'[1]371 Community Livestock Assets '!D22)</f>
        <v/>
      </c>
      <c r="F19" s="71" t="str">
        <f>IF('[1]371 Community Livestock Assets '!E22="","",'[1]371 Community Livestock Assets '!E22)</f>
        <v/>
      </c>
      <c r="G19" s="71" t="str">
        <f>IF('[1]371 Community Livestock Assets '!F22="","",'[1]371 Community Livestock Assets '!F22)</f>
        <v/>
      </c>
      <c r="H19" s="71" t="str">
        <f>IF('[1]371 Community Livestock Assets '!G22="","",'[1]371 Community Livestock Assets '!G22)</f>
        <v/>
      </c>
      <c r="I19" s="71" t="str">
        <f>IF('[1]371 Community Livestock Assets '!H22="","",'[1]371 Community Livestock Assets '!H22)</f>
        <v/>
      </c>
      <c r="J19" s="71" t="str">
        <f>IF('[1]371 Community Livestock Assets '!I22="","",'[1]371 Community Livestock Assets '!I22)</f>
        <v/>
      </c>
      <c r="K19" s="71" t="str">
        <f>IF('[1]371 Community Livestock Assets '!J22="","",'[1]371 Community Livestock Assets '!J22)</f>
        <v/>
      </c>
      <c r="L19" s="71" t="str">
        <f>IF('[1]371 Community Livestock Assets '!K22="","",'[1]371 Community Livestock Assets '!K22)</f>
        <v/>
      </c>
      <c r="M19" s="71" t="str">
        <f>IF('[1]371 Community Livestock Assets '!L22="","",'[1]371 Community Livestock Assets '!L22)</f>
        <v/>
      </c>
      <c r="N19" s="71" t="str">
        <f>IF('[1]371 Community Livestock Assets '!M22="","",'[1]371 Community Livestock Assets '!M22)</f>
        <v/>
      </c>
      <c r="O19" s="71" t="str">
        <f>IF('[1]371 Community Livestock Assets '!N22="","",'[1]371 Community Livestock Assets '!N22)</f>
        <v/>
      </c>
      <c r="P19" s="71" t="str">
        <f>IF('[1]371 Community Livestock Assets '!O22="","",'[1]371 Community Livestock Assets '!O22)</f>
        <v/>
      </c>
      <c r="Q19" s="71" t="str">
        <f>IF('[1]371 Community Livestock Assets '!P22="","",'[1]371 Community Livestock Assets '!P22)</f>
        <v/>
      </c>
      <c r="R19" s="71" t="str">
        <f>IF('[1]371 Community Livestock Assets '!Q22="","",'[1]371 Community Livestock Assets '!Q22)</f>
        <v/>
      </c>
      <c r="S19" s="71" t="str">
        <f>IF('[1]371 Community Livestock Assets '!R22="","",'[1]371 Community Livestock Assets '!R22)</f>
        <v/>
      </c>
      <c r="T19" s="71" t="str">
        <f>IF('[1]371 Community Livestock Assets '!S22="","",'[1]371 Community Livestock Assets '!S22)</f>
        <v/>
      </c>
      <c r="U19" s="71" t="str">
        <f>IF('[1]371 Community Livestock Assets '!T22="","",'[1]371 Community Livestock Assets '!T22)</f>
        <v/>
      </c>
      <c r="V19" s="71" t="str">
        <f>IF('[1]371 Community Livestock Assets '!U22="","",'[1]371 Community Livestock Assets '!U22)</f>
        <v/>
      </c>
      <c r="W19" s="71" t="str">
        <f>IF('[1]371 Community Livestock Assets '!V22="","",'[1]371 Community Livestock Assets '!V22)</f>
        <v/>
      </c>
      <c r="X19" s="71" t="str">
        <f>IF('[1]371 Community Livestock Assets '!W22="","",'[1]371 Community Livestock Assets '!W22)</f>
        <v/>
      </c>
      <c r="Y19" s="71" t="str">
        <f>IF('[1]371 Community Livestock Assets '!X22="","",'[1]371 Community Livestock Assets '!X22)</f>
        <v/>
      </c>
      <c r="Z19" s="71" t="str">
        <f>IF('[1]371 Community Livestock Assets '!Y22="","",'[1]371 Community Livestock Assets '!Y22)</f>
        <v/>
      </c>
      <c r="AA19" s="71" t="str">
        <f>IF('[1]371 Community Livestock Assets '!Z22="","",'[1]371 Community Livestock Assets '!Z22)</f>
        <v/>
      </c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</row>
    <row r="20" spans="1:53" s="39" customFormat="1" ht="17" hidden="1" customHeight="1">
      <c r="A20" s="80" t="s">
        <v>48</v>
      </c>
      <c r="B20" s="93" t="str">
        <f>IF('[1]371 Community Livestock Assets '!B22=0," ",'[1]371 Community Livestock Assets '!B22)</f>
        <v xml:space="preserve"> </v>
      </c>
      <c r="C20" s="93" t="str">
        <f>IF('[1]371 Community Livestock Assets '!C23=0," ",'[1]371 Community Livestock Assets '!C23)</f>
        <v xml:space="preserve"> </v>
      </c>
      <c r="D20" s="88" t="str">
        <f t="shared" si="3"/>
        <v xml:space="preserve"> </v>
      </c>
      <c r="E20" s="71" t="str">
        <f>IF('[1]371 Community Livestock Assets '!D23="","",'[1]371 Community Livestock Assets '!D23)</f>
        <v/>
      </c>
      <c r="F20" s="71" t="str">
        <f>IF('[1]371 Community Livestock Assets '!E23="","",'[1]371 Community Livestock Assets '!E23)</f>
        <v/>
      </c>
      <c r="G20" s="71" t="str">
        <f>IF('[1]371 Community Livestock Assets '!F23="","",'[1]371 Community Livestock Assets '!F23)</f>
        <v/>
      </c>
      <c r="H20" s="71" t="str">
        <f>IF('[1]371 Community Livestock Assets '!G23="","",'[1]371 Community Livestock Assets '!G23)</f>
        <v/>
      </c>
      <c r="I20" s="71" t="str">
        <f>IF('[1]371 Community Livestock Assets '!H23="","",'[1]371 Community Livestock Assets '!H23)</f>
        <v/>
      </c>
      <c r="J20" s="71" t="str">
        <f>IF('[1]371 Community Livestock Assets '!I23="","",'[1]371 Community Livestock Assets '!I23)</f>
        <v/>
      </c>
      <c r="K20" s="71" t="str">
        <f>IF('[1]371 Community Livestock Assets '!J23="","",'[1]371 Community Livestock Assets '!J23)</f>
        <v/>
      </c>
      <c r="L20" s="71" t="str">
        <f>IF('[1]371 Community Livestock Assets '!K23="","",'[1]371 Community Livestock Assets '!K23)</f>
        <v/>
      </c>
      <c r="M20" s="71" t="str">
        <f>IF('[1]371 Community Livestock Assets '!L23="","",'[1]371 Community Livestock Assets '!L23)</f>
        <v/>
      </c>
      <c r="N20" s="71" t="str">
        <f>IF('[1]371 Community Livestock Assets '!M23="","",'[1]371 Community Livestock Assets '!M23)</f>
        <v/>
      </c>
      <c r="O20" s="71" t="str">
        <f>IF('[1]371 Community Livestock Assets '!N23="","",'[1]371 Community Livestock Assets '!N23)</f>
        <v/>
      </c>
      <c r="P20" s="71" t="str">
        <f>IF('[1]371 Community Livestock Assets '!O23="","",'[1]371 Community Livestock Assets '!O23)</f>
        <v/>
      </c>
      <c r="Q20" s="71" t="str">
        <f>IF('[1]371 Community Livestock Assets '!P23="","",'[1]371 Community Livestock Assets '!P23)</f>
        <v/>
      </c>
      <c r="R20" s="71" t="str">
        <f>IF('[1]371 Community Livestock Assets '!Q23="","",'[1]371 Community Livestock Assets '!Q23)</f>
        <v/>
      </c>
      <c r="S20" s="71" t="str">
        <f>IF('[1]371 Community Livestock Assets '!R23="","",'[1]371 Community Livestock Assets '!R23)</f>
        <v/>
      </c>
      <c r="T20" s="71" t="str">
        <f>IF('[1]371 Community Livestock Assets '!S23="","",'[1]371 Community Livestock Assets '!S23)</f>
        <v/>
      </c>
      <c r="U20" s="71" t="str">
        <f>IF('[1]371 Community Livestock Assets '!T23="","",'[1]371 Community Livestock Assets '!T23)</f>
        <v/>
      </c>
      <c r="V20" s="71" t="str">
        <f>IF('[1]371 Community Livestock Assets '!U23="","",'[1]371 Community Livestock Assets '!U23)</f>
        <v/>
      </c>
      <c r="W20" s="71" t="str">
        <f>IF('[1]371 Community Livestock Assets '!V23="","",'[1]371 Community Livestock Assets '!V23)</f>
        <v/>
      </c>
      <c r="X20" s="71" t="str">
        <f>IF('[1]371 Community Livestock Assets '!W23="","",'[1]371 Community Livestock Assets '!W23)</f>
        <v/>
      </c>
      <c r="Y20" s="71" t="str">
        <f>IF('[1]371 Community Livestock Assets '!X23="","",'[1]371 Community Livestock Assets '!X23)</f>
        <v/>
      </c>
      <c r="Z20" s="71" t="str">
        <f>IF('[1]371 Community Livestock Assets '!Y23="","",'[1]371 Community Livestock Assets '!Y23)</f>
        <v/>
      </c>
      <c r="AA20" s="71" t="str">
        <f>IF('[1]371 Community Livestock Assets '!Z23="","",'[1]371 Community Livestock Assets '!Z23)</f>
        <v/>
      </c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</row>
    <row r="21" spans="1:53" s="39" customFormat="1" ht="17" hidden="1" customHeight="1">
      <c r="A21" s="84" t="str">
        <f>_xlfn.CONCAT(A15," LZ, Average Land Assets")</f>
        <v>Banana Coffee Piggery LZ, Average Land Assets</v>
      </c>
      <c r="B21" s="93" t="str">
        <f>IF('[1]371 Community Livestock Assets '!B23=0," ",'[1]371 Community Livestock Assets '!B23)</f>
        <v xml:space="preserve"> </v>
      </c>
      <c r="C21" s="93" t="str">
        <f>IF('[1]371 Community Livestock Assets '!C24=0," ",'[1]371 Community Livestock Assets '!C24)</f>
        <v xml:space="preserve"> </v>
      </c>
      <c r="D21" s="88" t="str">
        <f t="shared" si="3"/>
        <v xml:space="preserve"> </v>
      </c>
      <c r="E21" s="71" t="str">
        <f>IF('[1]371 Community Livestock Assets '!D24="","",'[1]371 Community Livestock Assets '!D24)</f>
        <v/>
      </c>
      <c r="F21" s="71" t="str">
        <f>IF('[1]371 Community Livestock Assets '!E24="","",'[1]371 Community Livestock Assets '!E24)</f>
        <v/>
      </c>
      <c r="G21" s="71" t="str">
        <f>IF('[1]371 Community Livestock Assets '!F24="","",'[1]371 Community Livestock Assets '!F24)</f>
        <v/>
      </c>
      <c r="H21" s="71" t="str">
        <f>IF('[1]371 Community Livestock Assets '!G24="","",'[1]371 Community Livestock Assets '!G24)</f>
        <v/>
      </c>
      <c r="I21" s="71" t="str">
        <f>IF('[1]371 Community Livestock Assets '!H24="","",'[1]371 Community Livestock Assets '!H24)</f>
        <v/>
      </c>
      <c r="J21" s="71" t="str">
        <f>IF('[1]371 Community Livestock Assets '!I24="","",'[1]371 Community Livestock Assets '!I24)</f>
        <v/>
      </c>
      <c r="K21" s="71" t="str">
        <f>IF('[1]371 Community Livestock Assets '!J24="","",'[1]371 Community Livestock Assets '!J24)</f>
        <v/>
      </c>
      <c r="L21" s="71" t="str">
        <f>IF('[1]371 Community Livestock Assets '!K24="","",'[1]371 Community Livestock Assets '!K24)</f>
        <v/>
      </c>
      <c r="M21" s="71" t="str">
        <f>IF('[1]371 Community Livestock Assets '!L24="","",'[1]371 Community Livestock Assets '!L24)</f>
        <v/>
      </c>
      <c r="N21" s="71" t="str">
        <f>IF('[1]371 Community Livestock Assets '!M24="","",'[1]371 Community Livestock Assets '!M24)</f>
        <v/>
      </c>
      <c r="O21" s="71" t="str">
        <f>IF('[1]371 Community Livestock Assets '!N24="","",'[1]371 Community Livestock Assets '!N24)</f>
        <v/>
      </c>
      <c r="P21" s="71" t="str">
        <f>IF('[1]371 Community Livestock Assets '!O24="","",'[1]371 Community Livestock Assets '!O24)</f>
        <v/>
      </c>
      <c r="Q21" s="71" t="str">
        <f>IF('[1]371 Community Livestock Assets '!P24="","",'[1]371 Community Livestock Assets '!P24)</f>
        <v/>
      </c>
      <c r="R21" s="71" t="str">
        <f>IF('[1]371 Community Livestock Assets '!Q24="","",'[1]371 Community Livestock Assets '!Q24)</f>
        <v/>
      </c>
      <c r="S21" s="71" t="str">
        <f>IF('[1]371 Community Livestock Assets '!R24="","",'[1]371 Community Livestock Assets '!R24)</f>
        <v/>
      </c>
      <c r="T21" s="71" t="str">
        <f>IF('[1]371 Community Livestock Assets '!S24="","",'[1]371 Community Livestock Assets '!S24)</f>
        <v/>
      </c>
      <c r="U21" s="71" t="str">
        <f>IF('[1]371 Community Livestock Assets '!T24="","",'[1]371 Community Livestock Assets '!T24)</f>
        <v/>
      </c>
      <c r="V21" s="71" t="str">
        <f>IF('[1]371 Community Livestock Assets '!U24="","",'[1]371 Community Livestock Assets '!U24)</f>
        <v/>
      </c>
      <c r="W21" s="71" t="str">
        <f>IF('[1]371 Community Livestock Assets '!V24="","",'[1]371 Community Livestock Assets '!V24)</f>
        <v/>
      </c>
      <c r="X21" s="71" t="str">
        <f>IF('[1]371 Community Livestock Assets '!W24="","",'[1]371 Community Livestock Assets '!W24)</f>
        <v/>
      </c>
      <c r="Y21" s="71" t="str">
        <f>IF('[1]371 Community Livestock Assets '!X24="","",'[1]371 Community Livestock Assets '!X24)</f>
        <v/>
      </c>
      <c r="Z21" s="71" t="str">
        <f>IF('[1]371 Community Livestock Assets '!Y24="","",'[1]371 Community Livestock Assets '!Y24)</f>
        <v/>
      </c>
      <c r="AA21" s="71" t="str">
        <f>IF('[1]371 Community Livestock Assets '!Z24="","",'[1]371 Community Livestock Assets '!Z24)</f>
        <v/>
      </c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</row>
    <row r="22" spans="1:53" s="39" customFormat="1" ht="17" hidden="1" customHeight="1">
      <c r="A22" s="50"/>
      <c r="B22" s="93" t="str">
        <f>IF('[1]371 Community Livestock Assets '!B24=0," ",'[1]371 Community Livestock Assets '!B24)</f>
        <v xml:space="preserve"> </v>
      </c>
      <c r="C22" s="93" t="str">
        <f>IF('[1]371 Community Livestock Assets '!C25=0," ",'[1]371 Community Livestock Assets '!C25)</f>
        <v xml:space="preserve"> </v>
      </c>
      <c r="D22" s="88" t="str">
        <f t="shared" si="3"/>
        <v xml:space="preserve"> </v>
      </c>
      <c r="E22" s="71" t="str">
        <f>IF('[1]371 Community Livestock Assets '!D25="","",'[1]371 Community Livestock Assets '!D25)</f>
        <v/>
      </c>
      <c r="F22" s="71" t="str">
        <f>IF('[1]371 Community Livestock Assets '!E25="","",'[1]371 Community Livestock Assets '!E25)</f>
        <v/>
      </c>
      <c r="G22" s="71" t="str">
        <f>IF('[1]371 Community Livestock Assets '!F25="","",'[1]371 Community Livestock Assets '!F25)</f>
        <v/>
      </c>
      <c r="H22" s="71" t="str">
        <f>IF('[1]371 Community Livestock Assets '!G25="","",'[1]371 Community Livestock Assets '!G25)</f>
        <v/>
      </c>
      <c r="I22" s="71" t="str">
        <f>IF('[1]371 Community Livestock Assets '!H25="","",'[1]371 Community Livestock Assets '!H25)</f>
        <v/>
      </c>
      <c r="J22" s="71" t="str">
        <f>IF('[1]371 Community Livestock Assets '!I25="","",'[1]371 Community Livestock Assets '!I25)</f>
        <v/>
      </c>
      <c r="K22" s="71" t="str">
        <f>IF('[1]371 Community Livestock Assets '!J25="","",'[1]371 Community Livestock Assets '!J25)</f>
        <v/>
      </c>
      <c r="L22" s="71" t="str">
        <f>IF('[1]371 Community Livestock Assets '!K25="","",'[1]371 Community Livestock Assets '!K25)</f>
        <v/>
      </c>
      <c r="M22" s="71" t="str">
        <f>IF('[1]371 Community Livestock Assets '!L25="","",'[1]371 Community Livestock Assets '!L25)</f>
        <v/>
      </c>
      <c r="N22" s="71" t="str">
        <f>IF('[1]371 Community Livestock Assets '!M25="","",'[1]371 Community Livestock Assets '!M25)</f>
        <v/>
      </c>
      <c r="O22" s="71" t="str">
        <f>IF('[1]371 Community Livestock Assets '!N25="","",'[1]371 Community Livestock Assets '!N25)</f>
        <v/>
      </c>
      <c r="P22" s="71" t="str">
        <f>IF('[1]371 Community Livestock Assets '!O25="","",'[1]371 Community Livestock Assets '!O25)</f>
        <v/>
      </c>
      <c r="Q22" s="71" t="str">
        <f>IF('[1]371 Community Livestock Assets '!P25="","",'[1]371 Community Livestock Assets '!P25)</f>
        <v/>
      </c>
      <c r="R22" s="71" t="str">
        <f>IF('[1]371 Community Livestock Assets '!Q25="","",'[1]371 Community Livestock Assets '!Q25)</f>
        <v/>
      </c>
      <c r="S22" s="71" t="str">
        <f>IF('[1]371 Community Livestock Assets '!R25="","",'[1]371 Community Livestock Assets '!R25)</f>
        <v/>
      </c>
      <c r="T22" s="71" t="str">
        <f>IF('[1]371 Community Livestock Assets '!S25="","",'[1]371 Community Livestock Assets '!S25)</f>
        <v/>
      </c>
      <c r="U22" s="71" t="str">
        <f>IF('[1]371 Community Livestock Assets '!T25="","",'[1]371 Community Livestock Assets '!T25)</f>
        <v/>
      </c>
      <c r="V22" s="71" t="str">
        <f>IF('[1]371 Community Livestock Assets '!U25="","",'[1]371 Community Livestock Assets '!U25)</f>
        <v/>
      </c>
      <c r="W22" s="71" t="str">
        <f>IF('[1]371 Community Livestock Assets '!V25="","",'[1]371 Community Livestock Assets '!V25)</f>
        <v/>
      </c>
      <c r="X22" s="71" t="str">
        <f>IF('[1]371 Community Livestock Assets '!W25="","",'[1]371 Community Livestock Assets '!W25)</f>
        <v/>
      </c>
      <c r="Y22" s="71" t="str">
        <f>IF('[1]371 Community Livestock Assets '!X25="","",'[1]371 Community Livestock Assets '!X25)</f>
        <v/>
      </c>
      <c r="Z22" s="71" t="str">
        <f>IF('[1]371 Community Livestock Assets '!Y25="","",'[1]371 Community Livestock Assets '!Y25)</f>
        <v/>
      </c>
      <c r="AA22" s="71" t="str">
        <f>IF('[1]371 Community Livestock Assets '!Z25="","",'[1]371 Community Livestock Assets '!Z25)</f>
        <v/>
      </c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</row>
    <row r="23" spans="1:53" s="39" customFormat="1" ht="17" hidden="1" customHeight="1">
      <c r="A23" s="50"/>
      <c r="B23" s="93" t="str">
        <f>IF('[1]371 Community Livestock Assets '!B25=0," ",'[1]371 Community Livestock Assets '!B25)</f>
        <v xml:space="preserve"> </v>
      </c>
      <c r="C23" s="93" t="str">
        <f>IF('[1]371 Community Livestock Assets '!C26=0," ",'[1]371 Community Livestock Assets '!C26)</f>
        <v xml:space="preserve"> </v>
      </c>
      <c r="D23" s="88" t="str">
        <f t="shared" si="3"/>
        <v xml:space="preserve"> </v>
      </c>
      <c r="E23" s="71" t="str">
        <f>IF('[1]371 Community Livestock Assets '!D26="","",'[1]371 Community Livestock Assets '!D26)</f>
        <v/>
      </c>
      <c r="F23" s="71" t="str">
        <f>IF('[1]371 Community Livestock Assets '!E26="","",'[1]371 Community Livestock Assets '!E26)</f>
        <v/>
      </c>
      <c r="G23" s="71" t="str">
        <f>IF('[1]371 Community Livestock Assets '!F26="","",'[1]371 Community Livestock Assets '!F26)</f>
        <v/>
      </c>
      <c r="H23" s="71" t="str">
        <f>IF('[1]371 Community Livestock Assets '!G26="","",'[1]371 Community Livestock Assets '!G26)</f>
        <v/>
      </c>
      <c r="I23" s="71" t="str">
        <f>IF('[1]371 Community Livestock Assets '!H26="","",'[1]371 Community Livestock Assets '!H26)</f>
        <v/>
      </c>
      <c r="J23" s="71" t="str">
        <f>IF('[1]371 Community Livestock Assets '!I26="","",'[1]371 Community Livestock Assets '!I26)</f>
        <v/>
      </c>
      <c r="K23" s="71" t="str">
        <f>IF('[1]371 Community Livestock Assets '!J26="","",'[1]371 Community Livestock Assets '!J26)</f>
        <v/>
      </c>
      <c r="L23" s="71" t="str">
        <f>IF('[1]371 Community Livestock Assets '!K26="","",'[1]371 Community Livestock Assets '!K26)</f>
        <v/>
      </c>
      <c r="M23" s="71" t="str">
        <f>IF('[1]371 Community Livestock Assets '!L26="","",'[1]371 Community Livestock Assets '!L26)</f>
        <v/>
      </c>
      <c r="N23" s="71" t="str">
        <f>IF('[1]371 Community Livestock Assets '!M26="","",'[1]371 Community Livestock Assets '!M26)</f>
        <v/>
      </c>
      <c r="O23" s="71" t="str">
        <f>IF('[1]371 Community Livestock Assets '!N26="","",'[1]371 Community Livestock Assets '!N26)</f>
        <v/>
      </c>
      <c r="P23" s="71" t="str">
        <f>IF('[1]371 Community Livestock Assets '!O26="","",'[1]371 Community Livestock Assets '!O26)</f>
        <v/>
      </c>
      <c r="Q23" s="71" t="str">
        <f>IF('[1]371 Community Livestock Assets '!P26="","",'[1]371 Community Livestock Assets '!P26)</f>
        <v/>
      </c>
      <c r="R23" s="71" t="str">
        <f>IF('[1]371 Community Livestock Assets '!Q26="","",'[1]371 Community Livestock Assets '!Q26)</f>
        <v/>
      </c>
      <c r="S23" s="71" t="str">
        <f>IF('[1]371 Community Livestock Assets '!R26="","",'[1]371 Community Livestock Assets '!R26)</f>
        <v/>
      </c>
      <c r="T23" s="71" t="str">
        <f>IF('[1]371 Community Livestock Assets '!S26="","",'[1]371 Community Livestock Assets '!S26)</f>
        <v/>
      </c>
      <c r="U23" s="71" t="str">
        <f>IF('[1]371 Community Livestock Assets '!T26="","",'[1]371 Community Livestock Assets '!T26)</f>
        <v/>
      </c>
      <c r="V23" s="71" t="str">
        <f>IF('[1]371 Community Livestock Assets '!U26="","",'[1]371 Community Livestock Assets '!U26)</f>
        <v/>
      </c>
      <c r="W23" s="71" t="str">
        <f>IF('[1]371 Community Livestock Assets '!V26="","",'[1]371 Community Livestock Assets '!V26)</f>
        <v/>
      </c>
      <c r="X23" s="71" t="str">
        <f>IF('[1]371 Community Livestock Assets '!W26="","",'[1]371 Community Livestock Assets '!W26)</f>
        <v/>
      </c>
      <c r="Y23" s="71" t="str">
        <f>IF('[1]371 Community Livestock Assets '!X26="","",'[1]371 Community Livestock Assets '!X26)</f>
        <v/>
      </c>
      <c r="Z23" s="71" t="str">
        <f>IF('[1]371 Community Livestock Assets '!Y26="","",'[1]371 Community Livestock Assets '!Y26)</f>
        <v/>
      </c>
      <c r="AA23" s="71" t="str">
        <f>IF('[1]371 Community Livestock Assets '!Z26="","",'[1]371 Community Livestock Assets '!Z26)</f>
        <v/>
      </c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</row>
    <row r="24" spans="1:53" s="39" customFormat="1" ht="17" hidden="1" customHeight="1">
      <c r="A24" s="50"/>
      <c r="B24" s="93" t="str">
        <f>IF('[1]371 Community Livestock Assets '!B26=0," ",'[1]371 Community Livestock Assets '!B26)</f>
        <v xml:space="preserve"> </v>
      </c>
      <c r="C24" s="93" t="str">
        <f>IF('[1]371 Community Livestock Assets '!C27=0," ",'[1]371 Community Livestock Assets '!C27)</f>
        <v xml:space="preserve"> </v>
      </c>
      <c r="D24" s="88" t="str">
        <f t="shared" si="3"/>
        <v xml:space="preserve"> </v>
      </c>
      <c r="E24" s="71" t="str">
        <f>IF('[1]371 Community Livestock Assets '!D27="","",'[1]371 Community Livestock Assets '!D27)</f>
        <v/>
      </c>
      <c r="F24" s="71" t="str">
        <f>IF('[1]371 Community Livestock Assets '!E27="","",'[1]371 Community Livestock Assets '!E27)</f>
        <v/>
      </c>
      <c r="G24" s="71" t="str">
        <f>IF('[1]371 Community Livestock Assets '!F27="","",'[1]371 Community Livestock Assets '!F27)</f>
        <v/>
      </c>
      <c r="H24" s="71" t="str">
        <f>IF('[1]371 Community Livestock Assets '!G27="","",'[1]371 Community Livestock Assets '!G27)</f>
        <v/>
      </c>
      <c r="I24" s="71" t="str">
        <f>IF('[1]371 Community Livestock Assets '!H27="","",'[1]371 Community Livestock Assets '!H27)</f>
        <v/>
      </c>
      <c r="J24" s="71" t="str">
        <f>IF('[1]371 Community Livestock Assets '!I27="","",'[1]371 Community Livestock Assets '!I27)</f>
        <v/>
      </c>
      <c r="K24" s="71" t="str">
        <f>IF('[1]371 Community Livestock Assets '!J27="","",'[1]371 Community Livestock Assets '!J27)</f>
        <v/>
      </c>
      <c r="L24" s="71" t="str">
        <f>IF('[1]371 Community Livestock Assets '!K27="","",'[1]371 Community Livestock Assets '!K27)</f>
        <v/>
      </c>
      <c r="M24" s="71" t="str">
        <f>IF('[1]371 Community Livestock Assets '!L27="","",'[1]371 Community Livestock Assets '!L27)</f>
        <v/>
      </c>
      <c r="N24" s="71" t="str">
        <f>IF('[1]371 Community Livestock Assets '!M27="","",'[1]371 Community Livestock Assets '!M27)</f>
        <v/>
      </c>
      <c r="O24" s="71" t="str">
        <f>IF('[1]371 Community Livestock Assets '!N27="","",'[1]371 Community Livestock Assets '!N27)</f>
        <v/>
      </c>
      <c r="P24" s="71" t="str">
        <f>IF('[1]371 Community Livestock Assets '!O27="","",'[1]371 Community Livestock Assets '!O27)</f>
        <v/>
      </c>
      <c r="Q24" s="71" t="str">
        <f>IF('[1]371 Community Livestock Assets '!P27="","",'[1]371 Community Livestock Assets '!P27)</f>
        <v/>
      </c>
      <c r="R24" s="71" t="str">
        <f>IF('[1]371 Community Livestock Assets '!Q27="","",'[1]371 Community Livestock Assets '!Q27)</f>
        <v/>
      </c>
      <c r="S24" s="71" t="str">
        <f>IF('[1]371 Community Livestock Assets '!R27="","",'[1]371 Community Livestock Assets '!R27)</f>
        <v/>
      </c>
      <c r="T24" s="71" t="str">
        <f>IF('[1]371 Community Livestock Assets '!S27="","",'[1]371 Community Livestock Assets '!S27)</f>
        <v/>
      </c>
      <c r="U24" s="71" t="str">
        <f>IF('[1]371 Community Livestock Assets '!T27="","",'[1]371 Community Livestock Assets '!T27)</f>
        <v/>
      </c>
      <c r="V24" s="71" t="str">
        <f>IF('[1]371 Community Livestock Assets '!U27="","",'[1]371 Community Livestock Assets '!U27)</f>
        <v/>
      </c>
      <c r="W24" s="71" t="str">
        <f>IF('[1]371 Community Livestock Assets '!V27="","",'[1]371 Community Livestock Assets '!V27)</f>
        <v/>
      </c>
      <c r="X24" s="71" t="str">
        <f>IF('[1]371 Community Livestock Assets '!W27="","",'[1]371 Community Livestock Assets '!W27)</f>
        <v/>
      </c>
      <c r="Y24" s="71" t="str">
        <f>IF('[1]371 Community Livestock Assets '!X27="","",'[1]371 Community Livestock Assets '!X27)</f>
        <v/>
      </c>
      <c r="Z24" s="71" t="str">
        <f>IF('[1]371 Community Livestock Assets '!Y27="","",'[1]371 Community Livestock Assets '!Y27)</f>
        <v/>
      </c>
      <c r="AA24" s="71" t="str">
        <f>IF('[1]371 Community Livestock Assets '!Z27="","",'[1]371 Community Livestock Assets '!Z27)</f>
        <v/>
      </c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</row>
    <row r="25" spans="1:53" s="39" customFormat="1" ht="17" hidden="1" customHeight="1">
      <c r="A25" s="50"/>
      <c r="B25" s="93" t="str">
        <f>IF('[1]371 Community Livestock Assets '!B27=0," ",'[1]371 Community Livestock Assets '!B27)</f>
        <v xml:space="preserve"> </v>
      </c>
      <c r="C25" s="93" t="str">
        <f>IF('[1]371 Community Livestock Assets '!C28=0," ",'[1]371 Community Livestock Assets '!C28)</f>
        <v xml:space="preserve"> </v>
      </c>
      <c r="D25" s="88" t="str">
        <f t="shared" si="3"/>
        <v xml:space="preserve"> </v>
      </c>
      <c r="E25" s="71" t="str">
        <f>IF('[1]371 Community Livestock Assets '!D28="","",'[1]371 Community Livestock Assets '!D28)</f>
        <v/>
      </c>
      <c r="F25" s="71" t="str">
        <f>IF('[1]371 Community Livestock Assets '!E28="","",'[1]371 Community Livestock Assets '!E28)</f>
        <v/>
      </c>
      <c r="G25" s="71" t="str">
        <f>IF('[1]371 Community Livestock Assets '!F28="","",'[1]371 Community Livestock Assets '!F28)</f>
        <v/>
      </c>
      <c r="H25" s="71" t="str">
        <f>IF('[1]371 Community Livestock Assets '!G28="","",'[1]371 Community Livestock Assets '!G28)</f>
        <v/>
      </c>
      <c r="I25" s="71" t="str">
        <f>IF('[1]371 Community Livestock Assets '!H28="","",'[1]371 Community Livestock Assets '!H28)</f>
        <v/>
      </c>
      <c r="J25" s="71" t="str">
        <f>IF('[1]371 Community Livestock Assets '!I28="","",'[1]371 Community Livestock Assets '!I28)</f>
        <v/>
      </c>
      <c r="K25" s="71" t="str">
        <f>IF('[1]371 Community Livestock Assets '!J28="","",'[1]371 Community Livestock Assets '!J28)</f>
        <v/>
      </c>
      <c r="L25" s="71" t="str">
        <f>IF('[1]371 Community Livestock Assets '!K28="","",'[1]371 Community Livestock Assets '!K28)</f>
        <v/>
      </c>
      <c r="M25" s="71" t="str">
        <f>IF('[1]371 Community Livestock Assets '!L28="","",'[1]371 Community Livestock Assets '!L28)</f>
        <v/>
      </c>
      <c r="N25" s="71" t="str">
        <f>IF('[1]371 Community Livestock Assets '!M28="","",'[1]371 Community Livestock Assets '!M28)</f>
        <v/>
      </c>
      <c r="O25" s="71" t="str">
        <f>IF('[1]371 Community Livestock Assets '!N28="","",'[1]371 Community Livestock Assets '!N28)</f>
        <v/>
      </c>
      <c r="P25" s="71" t="str">
        <f>IF('[1]371 Community Livestock Assets '!O28="","",'[1]371 Community Livestock Assets '!O28)</f>
        <v/>
      </c>
      <c r="Q25" s="71" t="str">
        <f>IF('[1]371 Community Livestock Assets '!P28="","",'[1]371 Community Livestock Assets '!P28)</f>
        <v/>
      </c>
      <c r="R25" s="71" t="str">
        <f>IF('[1]371 Community Livestock Assets '!Q28="","",'[1]371 Community Livestock Assets '!Q28)</f>
        <v/>
      </c>
      <c r="S25" s="71" t="str">
        <f>IF('[1]371 Community Livestock Assets '!R28="","",'[1]371 Community Livestock Assets '!R28)</f>
        <v/>
      </c>
      <c r="T25" s="71" t="str">
        <f>IF('[1]371 Community Livestock Assets '!S28="","",'[1]371 Community Livestock Assets '!S28)</f>
        <v/>
      </c>
      <c r="U25" s="71" t="str">
        <f>IF('[1]371 Community Livestock Assets '!T28="","",'[1]371 Community Livestock Assets '!T28)</f>
        <v/>
      </c>
      <c r="V25" s="71" t="str">
        <f>IF('[1]371 Community Livestock Assets '!U28="","",'[1]371 Community Livestock Assets '!U28)</f>
        <v/>
      </c>
      <c r="W25" s="71" t="str">
        <f>IF('[1]371 Community Livestock Assets '!V28="","",'[1]371 Community Livestock Assets '!V28)</f>
        <v/>
      </c>
      <c r="X25" s="71" t="str">
        <f>IF('[1]371 Community Livestock Assets '!W28="","",'[1]371 Community Livestock Assets '!W28)</f>
        <v/>
      </c>
      <c r="Y25" s="71" t="str">
        <f>IF('[1]371 Community Livestock Assets '!X28="","",'[1]371 Community Livestock Assets '!X28)</f>
        <v/>
      </c>
      <c r="Z25" s="71" t="str">
        <f>IF('[1]371 Community Livestock Assets '!Y28="","",'[1]371 Community Livestock Assets '!Y28)</f>
        <v/>
      </c>
      <c r="AA25" s="71" t="str">
        <f>IF('[1]371 Community Livestock Assets '!Z28="","",'[1]371 Community Livestock Assets '!Z28)</f>
        <v/>
      </c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</row>
    <row r="26" spans="1:53" s="39" customFormat="1" ht="17" hidden="1" customHeight="1">
      <c r="A26" s="50"/>
      <c r="B26" s="93" t="str">
        <f>IF('[1]371 Community Livestock Assets '!B28=0," ",'[1]371 Community Livestock Assets '!B28)</f>
        <v xml:space="preserve"> </v>
      </c>
      <c r="C26" s="93" t="str">
        <f>IF('[1]371 Community Livestock Assets '!C29=0," ",'[1]371 Community Livestock Assets '!C29)</f>
        <v xml:space="preserve"> </v>
      </c>
      <c r="D26" s="88" t="str">
        <f t="shared" si="3"/>
        <v xml:space="preserve"> </v>
      </c>
      <c r="E26" s="71" t="str">
        <f>IF('[1]371 Community Livestock Assets '!D29="","",'[1]371 Community Livestock Assets '!D29)</f>
        <v/>
      </c>
      <c r="F26" s="71" t="str">
        <f>IF('[1]371 Community Livestock Assets '!E29="","",'[1]371 Community Livestock Assets '!E29)</f>
        <v/>
      </c>
      <c r="G26" s="71" t="str">
        <f>IF('[1]371 Community Livestock Assets '!F29="","",'[1]371 Community Livestock Assets '!F29)</f>
        <v/>
      </c>
      <c r="H26" s="71" t="str">
        <f>IF('[1]371 Community Livestock Assets '!G29="","",'[1]371 Community Livestock Assets '!G29)</f>
        <v/>
      </c>
      <c r="I26" s="71" t="str">
        <f>IF('[1]371 Community Livestock Assets '!H29="","",'[1]371 Community Livestock Assets '!H29)</f>
        <v/>
      </c>
      <c r="J26" s="71" t="str">
        <f>IF('[1]371 Community Livestock Assets '!I29="","",'[1]371 Community Livestock Assets '!I29)</f>
        <v/>
      </c>
      <c r="K26" s="71" t="str">
        <f>IF('[1]371 Community Livestock Assets '!J29="","",'[1]371 Community Livestock Assets '!J29)</f>
        <v/>
      </c>
      <c r="L26" s="71" t="str">
        <f>IF('[1]371 Community Livestock Assets '!K29="","",'[1]371 Community Livestock Assets '!K29)</f>
        <v/>
      </c>
      <c r="M26" s="71" t="str">
        <f>IF('[1]371 Community Livestock Assets '!L29="","",'[1]371 Community Livestock Assets '!L29)</f>
        <v/>
      </c>
      <c r="N26" s="71" t="str">
        <f>IF('[1]371 Community Livestock Assets '!M29="","",'[1]371 Community Livestock Assets '!M29)</f>
        <v/>
      </c>
      <c r="O26" s="71" t="str">
        <f>IF('[1]371 Community Livestock Assets '!N29="","",'[1]371 Community Livestock Assets '!N29)</f>
        <v/>
      </c>
      <c r="P26" s="71" t="str">
        <f>IF('[1]371 Community Livestock Assets '!O29="","",'[1]371 Community Livestock Assets '!O29)</f>
        <v/>
      </c>
      <c r="Q26" s="71" t="str">
        <f>IF('[1]371 Community Livestock Assets '!P29="","",'[1]371 Community Livestock Assets '!P29)</f>
        <v/>
      </c>
      <c r="R26" s="71" t="str">
        <f>IF('[1]371 Community Livestock Assets '!Q29="","",'[1]371 Community Livestock Assets '!Q29)</f>
        <v/>
      </c>
      <c r="S26" s="71" t="str">
        <f>IF('[1]371 Community Livestock Assets '!R29="","",'[1]371 Community Livestock Assets '!R29)</f>
        <v/>
      </c>
      <c r="T26" s="71" t="str">
        <f>IF('[1]371 Community Livestock Assets '!S29="","",'[1]371 Community Livestock Assets '!S29)</f>
        <v/>
      </c>
      <c r="U26" s="71" t="str">
        <f>IF('[1]371 Community Livestock Assets '!T29="","",'[1]371 Community Livestock Assets '!T29)</f>
        <v/>
      </c>
      <c r="V26" s="71" t="str">
        <f>IF('[1]371 Community Livestock Assets '!U29="","",'[1]371 Community Livestock Assets '!U29)</f>
        <v/>
      </c>
      <c r="W26" s="71" t="str">
        <f>IF('[1]371 Community Livestock Assets '!V29="","",'[1]371 Community Livestock Assets '!V29)</f>
        <v/>
      </c>
      <c r="X26" s="71" t="str">
        <f>IF('[1]371 Community Livestock Assets '!W29="","",'[1]371 Community Livestock Assets '!W29)</f>
        <v/>
      </c>
      <c r="Y26" s="71" t="str">
        <f>IF('[1]371 Community Livestock Assets '!X29="","",'[1]371 Community Livestock Assets '!X29)</f>
        <v/>
      </c>
      <c r="Z26" s="71" t="str">
        <f>IF('[1]371 Community Livestock Assets '!Y29="","",'[1]371 Community Livestock Assets '!Y29)</f>
        <v/>
      </c>
      <c r="AA26" s="71" t="str">
        <f>IF('[1]371 Community Livestock Assets '!Z29="","",'[1]371 Community Livestock Assets '!Z29)</f>
        <v/>
      </c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</row>
    <row r="27" spans="1:53" s="39" customFormat="1" ht="17" hidden="1" customHeight="1">
      <c r="A27" s="50"/>
      <c r="B27" s="93" t="str">
        <f>IF('[1]371 Community Livestock Assets '!B29=0," ",'[1]371 Community Livestock Assets '!B29)</f>
        <v xml:space="preserve"> </v>
      </c>
      <c r="C27" s="93" t="str">
        <f>IF('[1]371 Community Livestock Assets '!C30=0," ",'[1]371 Community Livestock Assets '!C30)</f>
        <v xml:space="preserve"> </v>
      </c>
      <c r="D27" s="88" t="str">
        <f t="shared" si="3"/>
        <v xml:space="preserve"> </v>
      </c>
      <c r="E27" s="71" t="str">
        <f>IF('[1]371 Community Livestock Assets '!D30="","",'[1]371 Community Livestock Assets '!D30)</f>
        <v/>
      </c>
      <c r="F27" s="71" t="str">
        <f>IF('[1]371 Community Livestock Assets '!E30="","",'[1]371 Community Livestock Assets '!E30)</f>
        <v/>
      </c>
      <c r="G27" s="71" t="str">
        <f>IF('[1]371 Community Livestock Assets '!F30="","",'[1]371 Community Livestock Assets '!F30)</f>
        <v/>
      </c>
      <c r="H27" s="71" t="str">
        <f>IF('[1]371 Community Livestock Assets '!G30="","",'[1]371 Community Livestock Assets '!G30)</f>
        <v/>
      </c>
      <c r="I27" s="71" t="str">
        <f>IF('[1]371 Community Livestock Assets '!H30="","",'[1]371 Community Livestock Assets '!H30)</f>
        <v/>
      </c>
      <c r="J27" s="71" t="str">
        <f>IF('[1]371 Community Livestock Assets '!I30="","",'[1]371 Community Livestock Assets '!I30)</f>
        <v/>
      </c>
      <c r="K27" s="71" t="str">
        <f>IF('[1]371 Community Livestock Assets '!J30="","",'[1]371 Community Livestock Assets '!J30)</f>
        <v/>
      </c>
      <c r="L27" s="71" t="str">
        <f>IF('[1]371 Community Livestock Assets '!K30="","",'[1]371 Community Livestock Assets '!K30)</f>
        <v/>
      </c>
      <c r="M27" s="71" t="str">
        <f>IF('[1]371 Community Livestock Assets '!L30="","",'[1]371 Community Livestock Assets '!L30)</f>
        <v/>
      </c>
      <c r="N27" s="71" t="str">
        <f>IF('[1]371 Community Livestock Assets '!M30="","",'[1]371 Community Livestock Assets '!M30)</f>
        <v/>
      </c>
      <c r="O27" s="71" t="str">
        <f>IF('[1]371 Community Livestock Assets '!N30="","",'[1]371 Community Livestock Assets '!N30)</f>
        <v/>
      </c>
      <c r="P27" s="71" t="str">
        <f>IF('[1]371 Community Livestock Assets '!O30="","",'[1]371 Community Livestock Assets '!O30)</f>
        <v/>
      </c>
      <c r="Q27" s="71" t="str">
        <f>IF('[1]371 Community Livestock Assets '!P30="","",'[1]371 Community Livestock Assets '!P30)</f>
        <v/>
      </c>
      <c r="R27" s="71" t="str">
        <f>IF('[1]371 Community Livestock Assets '!Q30="","",'[1]371 Community Livestock Assets '!Q30)</f>
        <v/>
      </c>
      <c r="S27" s="71" t="str">
        <f>IF('[1]371 Community Livestock Assets '!R30="","",'[1]371 Community Livestock Assets '!R30)</f>
        <v/>
      </c>
      <c r="T27" s="71" t="str">
        <f>IF('[1]371 Community Livestock Assets '!S30="","",'[1]371 Community Livestock Assets '!S30)</f>
        <v/>
      </c>
      <c r="U27" s="71" t="str">
        <f>IF('[1]371 Community Livestock Assets '!T30="","",'[1]371 Community Livestock Assets '!T30)</f>
        <v/>
      </c>
      <c r="V27" s="71" t="str">
        <f>IF('[1]371 Community Livestock Assets '!U30="","",'[1]371 Community Livestock Assets '!U30)</f>
        <v/>
      </c>
      <c r="W27" s="71" t="str">
        <f>IF('[1]371 Community Livestock Assets '!V30="","",'[1]371 Community Livestock Assets '!V30)</f>
        <v/>
      </c>
      <c r="X27" s="71" t="str">
        <f>IF('[1]371 Community Livestock Assets '!W30="","",'[1]371 Community Livestock Assets '!W30)</f>
        <v/>
      </c>
      <c r="Y27" s="71" t="str">
        <f>IF('[1]371 Community Livestock Assets '!X30="","",'[1]371 Community Livestock Assets '!X30)</f>
        <v/>
      </c>
      <c r="Z27" s="71" t="str">
        <f>IF('[1]371 Community Livestock Assets '!Y30="","",'[1]371 Community Livestock Assets '!Y30)</f>
        <v/>
      </c>
      <c r="AA27" s="71" t="str">
        <f>IF('[1]371 Community Livestock Assets '!Z30="","",'[1]371 Community Livestock Assets '!Z30)</f>
        <v/>
      </c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</row>
    <row r="28" spans="1:53" s="39" customFormat="1" ht="17" hidden="1" customHeight="1">
      <c r="A28" s="50"/>
      <c r="B28" s="93" t="str">
        <f>IF('[1]371 Community Livestock Assets '!B30=0," ",'[1]371 Community Livestock Assets '!B30)</f>
        <v xml:space="preserve"> </v>
      </c>
      <c r="C28" s="93" t="str">
        <f>IF('[1]371 Community Livestock Assets '!C31=0," ",'[1]371 Community Livestock Assets '!C31)</f>
        <v xml:space="preserve"> </v>
      </c>
      <c r="D28" s="88" t="str">
        <f t="shared" si="3"/>
        <v xml:space="preserve"> </v>
      </c>
      <c r="E28" s="71" t="str">
        <f>IF('[1]371 Community Livestock Assets '!D31="","",'[1]371 Community Livestock Assets '!D31)</f>
        <v/>
      </c>
      <c r="F28" s="71" t="str">
        <f>IF('[1]371 Community Livestock Assets '!E31="","",'[1]371 Community Livestock Assets '!E31)</f>
        <v/>
      </c>
      <c r="G28" s="71" t="str">
        <f>IF('[1]371 Community Livestock Assets '!F31="","",'[1]371 Community Livestock Assets '!F31)</f>
        <v/>
      </c>
      <c r="H28" s="71" t="str">
        <f>IF('[1]371 Community Livestock Assets '!G31="","",'[1]371 Community Livestock Assets '!G31)</f>
        <v/>
      </c>
      <c r="I28" s="71" t="str">
        <f>IF('[1]371 Community Livestock Assets '!H31="","",'[1]371 Community Livestock Assets '!H31)</f>
        <v/>
      </c>
      <c r="J28" s="71" t="str">
        <f>IF('[1]371 Community Livestock Assets '!I31="","",'[1]371 Community Livestock Assets '!I31)</f>
        <v/>
      </c>
      <c r="K28" s="71" t="str">
        <f>IF('[1]371 Community Livestock Assets '!J31="","",'[1]371 Community Livestock Assets '!J31)</f>
        <v/>
      </c>
      <c r="L28" s="71" t="str">
        <f>IF('[1]371 Community Livestock Assets '!K31="","",'[1]371 Community Livestock Assets '!K31)</f>
        <v/>
      </c>
      <c r="M28" s="71" t="str">
        <f>IF('[1]371 Community Livestock Assets '!L31="","",'[1]371 Community Livestock Assets '!L31)</f>
        <v/>
      </c>
      <c r="N28" s="71" t="str">
        <f>IF('[1]371 Community Livestock Assets '!M31="","",'[1]371 Community Livestock Assets '!M31)</f>
        <v/>
      </c>
      <c r="O28" s="71" t="str">
        <f>IF('[1]371 Community Livestock Assets '!N31="","",'[1]371 Community Livestock Assets '!N31)</f>
        <v/>
      </c>
      <c r="P28" s="71" t="str">
        <f>IF('[1]371 Community Livestock Assets '!O31="","",'[1]371 Community Livestock Assets '!O31)</f>
        <v/>
      </c>
      <c r="Q28" s="71" t="str">
        <f>IF('[1]371 Community Livestock Assets '!P31="","",'[1]371 Community Livestock Assets '!P31)</f>
        <v/>
      </c>
      <c r="R28" s="71" t="str">
        <f>IF('[1]371 Community Livestock Assets '!Q31="","",'[1]371 Community Livestock Assets '!Q31)</f>
        <v/>
      </c>
      <c r="S28" s="71" t="str">
        <f>IF('[1]371 Community Livestock Assets '!R31="","",'[1]371 Community Livestock Assets '!R31)</f>
        <v/>
      </c>
      <c r="T28" s="71" t="str">
        <f>IF('[1]371 Community Livestock Assets '!S31="","",'[1]371 Community Livestock Assets '!S31)</f>
        <v/>
      </c>
      <c r="U28" s="71" t="str">
        <f>IF('[1]371 Community Livestock Assets '!T31="","",'[1]371 Community Livestock Assets '!T31)</f>
        <v/>
      </c>
      <c r="V28" s="71" t="str">
        <f>IF('[1]371 Community Livestock Assets '!U31="","",'[1]371 Community Livestock Assets '!U31)</f>
        <v/>
      </c>
      <c r="W28" s="71" t="str">
        <f>IF('[1]371 Community Livestock Assets '!V31="","",'[1]371 Community Livestock Assets '!V31)</f>
        <v/>
      </c>
      <c r="X28" s="71" t="str">
        <f>IF('[1]371 Community Livestock Assets '!W31="","",'[1]371 Community Livestock Assets '!W31)</f>
        <v/>
      </c>
      <c r="Y28" s="71" t="str">
        <f>IF('[1]371 Community Livestock Assets '!X31="","",'[1]371 Community Livestock Assets '!X31)</f>
        <v/>
      </c>
      <c r="Z28" s="71" t="str">
        <f>IF('[1]371 Community Livestock Assets '!Y31="","",'[1]371 Community Livestock Assets '!Y31)</f>
        <v/>
      </c>
      <c r="AA28" s="71" t="str">
        <f>IF('[1]371 Community Livestock Assets '!Z31="","",'[1]371 Community Livestock Assets '!Z31)</f>
        <v/>
      </c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</row>
    <row r="29" spans="1:53" s="39" customFormat="1" ht="17" hidden="1" customHeight="1">
      <c r="A29" s="50"/>
      <c r="B29" s="93" t="str">
        <f>IF('[1]371 Community Livestock Assets '!B31=0," ",'[1]371 Community Livestock Assets '!B31)</f>
        <v xml:space="preserve"> </v>
      </c>
      <c r="C29" s="93" t="str">
        <f>IF('[1]371 Community Livestock Assets '!C32=0," ",'[1]371 Community Livestock Assets '!C32)</f>
        <v xml:space="preserve"> </v>
      </c>
      <c r="D29" s="88" t="str">
        <f t="shared" si="3"/>
        <v xml:space="preserve"> </v>
      </c>
      <c r="E29" s="71" t="str">
        <f>IF('[1]371 Community Livestock Assets '!D32="","",'[1]371 Community Livestock Assets '!D32)</f>
        <v/>
      </c>
      <c r="F29" s="71" t="str">
        <f>IF('[1]371 Community Livestock Assets '!E32="","",'[1]371 Community Livestock Assets '!E32)</f>
        <v/>
      </c>
      <c r="G29" s="71" t="str">
        <f>IF('[1]371 Community Livestock Assets '!F32="","",'[1]371 Community Livestock Assets '!F32)</f>
        <v/>
      </c>
      <c r="H29" s="71" t="str">
        <f>IF('[1]371 Community Livestock Assets '!G32="","",'[1]371 Community Livestock Assets '!G32)</f>
        <v/>
      </c>
      <c r="I29" s="71" t="str">
        <f>IF('[1]371 Community Livestock Assets '!H32="","",'[1]371 Community Livestock Assets '!H32)</f>
        <v/>
      </c>
      <c r="J29" s="71" t="str">
        <f>IF('[1]371 Community Livestock Assets '!I32="","",'[1]371 Community Livestock Assets '!I32)</f>
        <v/>
      </c>
      <c r="K29" s="71" t="str">
        <f>IF('[1]371 Community Livestock Assets '!J32="","",'[1]371 Community Livestock Assets '!J32)</f>
        <v/>
      </c>
      <c r="L29" s="71" t="str">
        <f>IF('[1]371 Community Livestock Assets '!K32="","",'[1]371 Community Livestock Assets '!K32)</f>
        <v/>
      </c>
      <c r="M29" s="71" t="str">
        <f>IF('[1]371 Community Livestock Assets '!L32="","",'[1]371 Community Livestock Assets '!L32)</f>
        <v/>
      </c>
      <c r="N29" s="71" t="str">
        <f>IF('[1]371 Community Livestock Assets '!M32="","",'[1]371 Community Livestock Assets '!M32)</f>
        <v/>
      </c>
      <c r="O29" s="71" t="str">
        <f>IF('[1]371 Community Livestock Assets '!N32="","",'[1]371 Community Livestock Assets '!N32)</f>
        <v/>
      </c>
      <c r="P29" s="71" t="str">
        <f>IF('[1]371 Community Livestock Assets '!O32="","",'[1]371 Community Livestock Assets '!O32)</f>
        <v/>
      </c>
      <c r="Q29" s="71" t="str">
        <f>IF('[1]371 Community Livestock Assets '!P32="","",'[1]371 Community Livestock Assets '!P32)</f>
        <v/>
      </c>
      <c r="R29" s="71" t="str">
        <f>IF('[1]371 Community Livestock Assets '!Q32="","",'[1]371 Community Livestock Assets '!Q32)</f>
        <v/>
      </c>
      <c r="S29" s="71" t="str">
        <f>IF('[1]371 Community Livestock Assets '!R32="","",'[1]371 Community Livestock Assets '!R32)</f>
        <v/>
      </c>
      <c r="T29" s="71" t="str">
        <f>IF('[1]371 Community Livestock Assets '!S32="","",'[1]371 Community Livestock Assets '!S32)</f>
        <v/>
      </c>
      <c r="U29" s="71" t="str">
        <f>IF('[1]371 Community Livestock Assets '!T32="","",'[1]371 Community Livestock Assets '!T32)</f>
        <v/>
      </c>
      <c r="V29" s="71" t="str">
        <f>IF('[1]371 Community Livestock Assets '!U32="","",'[1]371 Community Livestock Assets '!U32)</f>
        <v/>
      </c>
      <c r="W29" s="71" t="str">
        <f>IF('[1]371 Community Livestock Assets '!V32="","",'[1]371 Community Livestock Assets '!V32)</f>
        <v/>
      </c>
      <c r="X29" s="71" t="str">
        <f>IF('[1]371 Community Livestock Assets '!W32="","",'[1]371 Community Livestock Assets '!W32)</f>
        <v/>
      </c>
      <c r="Y29" s="71" t="str">
        <f>IF('[1]371 Community Livestock Assets '!X32="","",'[1]371 Community Livestock Assets '!X32)</f>
        <v/>
      </c>
      <c r="Z29" s="71" t="str">
        <f>IF('[1]371 Community Livestock Assets '!Y32="","",'[1]371 Community Livestock Assets '!Y32)</f>
        <v/>
      </c>
      <c r="AA29" s="71" t="str">
        <f>IF('[1]371 Community Livestock Assets '!Z32="","",'[1]371 Community Livestock Assets '!Z32)</f>
        <v/>
      </c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</row>
    <row r="30" spans="1:53" s="39" customFormat="1" ht="17" hidden="1" customHeight="1">
      <c r="A30" s="50"/>
      <c r="B30" s="93" t="str">
        <f>IF('[1]371 Community Livestock Assets '!B32=0," ",'[1]371 Community Livestock Assets '!B32)</f>
        <v xml:space="preserve"> </v>
      </c>
      <c r="C30" s="93" t="str">
        <f>IF('[1]371 Community Livestock Assets '!C33=0," ",'[1]371 Community Livestock Assets '!C33)</f>
        <v xml:space="preserve"> </v>
      </c>
      <c r="D30" s="88" t="str">
        <f t="shared" si="3"/>
        <v xml:space="preserve"> </v>
      </c>
      <c r="E30" s="71" t="str">
        <f>IF('[1]371 Community Livestock Assets '!D33="","",'[1]371 Community Livestock Assets '!D33)</f>
        <v/>
      </c>
      <c r="F30" s="71" t="str">
        <f>IF('[1]371 Community Livestock Assets '!E33="","",'[1]371 Community Livestock Assets '!E33)</f>
        <v/>
      </c>
      <c r="G30" s="71" t="str">
        <f>IF('[1]371 Community Livestock Assets '!F33="","",'[1]371 Community Livestock Assets '!F33)</f>
        <v/>
      </c>
      <c r="H30" s="71" t="str">
        <f>IF('[1]371 Community Livestock Assets '!G33="","",'[1]371 Community Livestock Assets '!G33)</f>
        <v/>
      </c>
      <c r="I30" s="71" t="str">
        <f>IF('[1]371 Community Livestock Assets '!H33="","",'[1]371 Community Livestock Assets '!H33)</f>
        <v/>
      </c>
      <c r="J30" s="71" t="str">
        <f>IF('[1]371 Community Livestock Assets '!I33="","",'[1]371 Community Livestock Assets '!I33)</f>
        <v/>
      </c>
      <c r="K30" s="71" t="str">
        <f>IF('[1]371 Community Livestock Assets '!J33="","",'[1]371 Community Livestock Assets '!J33)</f>
        <v/>
      </c>
      <c r="L30" s="71" t="str">
        <f>IF('[1]371 Community Livestock Assets '!K33="","",'[1]371 Community Livestock Assets '!K33)</f>
        <v/>
      </c>
      <c r="M30" s="71" t="str">
        <f>IF('[1]371 Community Livestock Assets '!L33="","",'[1]371 Community Livestock Assets '!L33)</f>
        <v/>
      </c>
      <c r="N30" s="71" t="str">
        <f>IF('[1]371 Community Livestock Assets '!M33="","",'[1]371 Community Livestock Assets '!M33)</f>
        <v/>
      </c>
      <c r="O30" s="71" t="str">
        <f>IF('[1]371 Community Livestock Assets '!N33="","",'[1]371 Community Livestock Assets '!N33)</f>
        <v/>
      </c>
      <c r="P30" s="71" t="str">
        <f>IF('[1]371 Community Livestock Assets '!O33="","",'[1]371 Community Livestock Assets '!O33)</f>
        <v/>
      </c>
      <c r="Q30" s="71" t="str">
        <f>IF('[1]371 Community Livestock Assets '!P33="","",'[1]371 Community Livestock Assets '!P33)</f>
        <v/>
      </c>
      <c r="R30" s="71" t="str">
        <f>IF('[1]371 Community Livestock Assets '!Q33="","",'[1]371 Community Livestock Assets '!Q33)</f>
        <v/>
      </c>
      <c r="S30" s="71" t="str">
        <f>IF('[1]371 Community Livestock Assets '!R33="","",'[1]371 Community Livestock Assets '!R33)</f>
        <v/>
      </c>
      <c r="T30" s="71" t="str">
        <f>IF('[1]371 Community Livestock Assets '!S33="","",'[1]371 Community Livestock Assets '!S33)</f>
        <v/>
      </c>
      <c r="U30" s="71" t="str">
        <f>IF('[1]371 Community Livestock Assets '!T33="","",'[1]371 Community Livestock Assets '!T33)</f>
        <v/>
      </c>
      <c r="V30" s="71" t="str">
        <f>IF('[1]371 Community Livestock Assets '!U33="","",'[1]371 Community Livestock Assets '!U33)</f>
        <v/>
      </c>
      <c r="W30" s="71" t="str">
        <f>IF('[1]371 Community Livestock Assets '!V33="","",'[1]371 Community Livestock Assets '!V33)</f>
        <v/>
      </c>
      <c r="X30" s="71" t="str">
        <f>IF('[1]371 Community Livestock Assets '!W33="","",'[1]371 Community Livestock Assets '!W33)</f>
        <v/>
      </c>
      <c r="Y30" s="71" t="str">
        <f>IF('[1]371 Community Livestock Assets '!X33="","",'[1]371 Community Livestock Assets '!X33)</f>
        <v/>
      </c>
      <c r="Z30" s="71" t="str">
        <f>IF('[1]371 Community Livestock Assets '!Y33="","",'[1]371 Community Livestock Assets '!Y33)</f>
        <v/>
      </c>
      <c r="AA30" s="71" t="str">
        <f>IF('[1]371 Community Livestock Assets '!Z33="","",'[1]371 Community Livestock Assets '!Z33)</f>
        <v/>
      </c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</row>
    <row r="31" spans="1:53" s="39" customFormat="1" ht="17" hidden="1" customHeight="1">
      <c r="A31" s="50"/>
      <c r="B31" s="93" t="str">
        <f>IF('[1]371 Community Livestock Assets '!B33=0," ",'[1]371 Community Livestock Assets '!B33)</f>
        <v xml:space="preserve"> </v>
      </c>
      <c r="C31" s="93" t="str">
        <f>IF('[1]371 Community Livestock Assets '!C34=0," ",'[1]371 Community Livestock Assets '!C34)</f>
        <v xml:space="preserve"> </v>
      </c>
      <c r="D31" s="88" t="str">
        <f t="shared" si="3"/>
        <v xml:space="preserve"> </v>
      </c>
      <c r="E31" s="71" t="str">
        <f>IF('[1]371 Community Livestock Assets '!D34="","",'[1]371 Community Livestock Assets '!D34)</f>
        <v/>
      </c>
      <c r="F31" s="71" t="str">
        <f>IF('[1]371 Community Livestock Assets '!E34="","",'[1]371 Community Livestock Assets '!E34)</f>
        <v/>
      </c>
      <c r="G31" s="71" t="str">
        <f>IF('[1]371 Community Livestock Assets '!F34="","",'[1]371 Community Livestock Assets '!F34)</f>
        <v/>
      </c>
      <c r="H31" s="71" t="str">
        <f>IF('[1]371 Community Livestock Assets '!G34="","",'[1]371 Community Livestock Assets '!G34)</f>
        <v/>
      </c>
      <c r="I31" s="71" t="str">
        <f>IF('[1]371 Community Livestock Assets '!H34="","",'[1]371 Community Livestock Assets '!H34)</f>
        <v/>
      </c>
      <c r="J31" s="71" t="str">
        <f>IF('[1]371 Community Livestock Assets '!I34="","",'[1]371 Community Livestock Assets '!I34)</f>
        <v/>
      </c>
      <c r="K31" s="71" t="str">
        <f>IF('[1]371 Community Livestock Assets '!J34="","",'[1]371 Community Livestock Assets '!J34)</f>
        <v/>
      </c>
      <c r="L31" s="71" t="str">
        <f>IF('[1]371 Community Livestock Assets '!K34="","",'[1]371 Community Livestock Assets '!K34)</f>
        <v/>
      </c>
      <c r="M31" s="71" t="str">
        <f>IF('[1]371 Community Livestock Assets '!L34="","",'[1]371 Community Livestock Assets '!L34)</f>
        <v/>
      </c>
      <c r="N31" s="71" t="str">
        <f>IF('[1]371 Community Livestock Assets '!M34="","",'[1]371 Community Livestock Assets '!M34)</f>
        <v/>
      </c>
      <c r="O31" s="71" t="str">
        <f>IF('[1]371 Community Livestock Assets '!N34="","",'[1]371 Community Livestock Assets '!N34)</f>
        <v/>
      </c>
      <c r="P31" s="71" t="str">
        <f>IF('[1]371 Community Livestock Assets '!O34="","",'[1]371 Community Livestock Assets '!O34)</f>
        <v/>
      </c>
      <c r="Q31" s="71" t="str">
        <f>IF('[1]371 Community Livestock Assets '!P34="","",'[1]371 Community Livestock Assets '!P34)</f>
        <v/>
      </c>
      <c r="R31" s="71" t="str">
        <f>IF('[1]371 Community Livestock Assets '!Q34="","",'[1]371 Community Livestock Assets '!Q34)</f>
        <v/>
      </c>
      <c r="S31" s="71" t="str">
        <f>IF('[1]371 Community Livestock Assets '!R34="","",'[1]371 Community Livestock Assets '!R34)</f>
        <v/>
      </c>
      <c r="T31" s="71" t="str">
        <f>IF('[1]371 Community Livestock Assets '!S34="","",'[1]371 Community Livestock Assets '!S34)</f>
        <v/>
      </c>
      <c r="U31" s="71" t="str">
        <f>IF('[1]371 Community Livestock Assets '!T34="","",'[1]371 Community Livestock Assets '!T34)</f>
        <v/>
      </c>
      <c r="V31" s="71" t="str">
        <f>IF('[1]371 Community Livestock Assets '!U34="","",'[1]371 Community Livestock Assets '!U34)</f>
        <v/>
      </c>
      <c r="W31" s="71" t="str">
        <f>IF('[1]371 Community Livestock Assets '!V34="","",'[1]371 Community Livestock Assets '!V34)</f>
        <v/>
      </c>
      <c r="X31" s="71" t="str">
        <f>IF('[1]371 Community Livestock Assets '!W34="","",'[1]371 Community Livestock Assets '!W34)</f>
        <v/>
      </c>
      <c r="Y31" s="71" t="str">
        <f>IF('[1]371 Community Livestock Assets '!X34="","",'[1]371 Community Livestock Assets '!X34)</f>
        <v/>
      </c>
      <c r="Z31" s="71" t="str">
        <f>IF('[1]371 Community Livestock Assets '!Y34="","",'[1]371 Community Livestock Assets '!Y34)</f>
        <v/>
      </c>
      <c r="AA31" s="71" t="str">
        <f>IF('[1]371 Community Livestock Assets '!Z34="","",'[1]371 Community Livestock Assets '!Z34)</f>
        <v/>
      </c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</row>
    <row r="32" spans="1:53" s="39" customFormat="1" ht="17" hidden="1" customHeight="1">
      <c r="A32" s="50"/>
      <c r="B32" s="93" t="str">
        <f>IF('[1]371 Community Livestock Assets '!B34=0," ",'[1]371 Community Livestock Assets '!B34)</f>
        <v xml:space="preserve"> </v>
      </c>
      <c r="C32" s="93" t="str">
        <f>IF('[1]371 Community Livestock Assets '!C35=0," ",'[1]371 Community Livestock Assets '!C35)</f>
        <v xml:space="preserve"> </v>
      </c>
      <c r="D32" s="88" t="str">
        <f t="shared" si="3"/>
        <v xml:space="preserve"> </v>
      </c>
      <c r="E32" s="71" t="str">
        <f>IF('[1]371 Community Livestock Assets '!D35="","",'[1]371 Community Livestock Assets '!D35)</f>
        <v/>
      </c>
      <c r="F32" s="71" t="str">
        <f>IF('[1]371 Community Livestock Assets '!E35="","",'[1]371 Community Livestock Assets '!E35)</f>
        <v/>
      </c>
      <c r="G32" s="71" t="str">
        <f>IF('[1]371 Community Livestock Assets '!F35="","",'[1]371 Community Livestock Assets '!F35)</f>
        <v/>
      </c>
      <c r="H32" s="71" t="str">
        <f>IF('[1]371 Community Livestock Assets '!G35="","",'[1]371 Community Livestock Assets '!G35)</f>
        <v/>
      </c>
      <c r="I32" s="71" t="str">
        <f>IF('[1]371 Community Livestock Assets '!H35="","",'[1]371 Community Livestock Assets '!H35)</f>
        <v/>
      </c>
      <c r="J32" s="71" t="str">
        <f>IF('[1]371 Community Livestock Assets '!I35="","",'[1]371 Community Livestock Assets '!I35)</f>
        <v/>
      </c>
      <c r="K32" s="71" t="str">
        <f>IF('[1]371 Community Livestock Assets '!J35="","",'[1]371 Community Livestock Assets '!J35)</f>
        <v/>
      </c>
      <c r="L32" s="71" t="str">
        <f>IF('[1]371 Community Livestock Assets '!K35="","",'[1]371 Community Livestock Assets '!K35)</f>
        <v/>
      </c>
      <c r="M32" s="71" t="str">
        <f>IF('[1]371 Community Livestock Assets '!L35="","",'[1]371 Community Livestock Assets '!L35)</f>
        <v/>
      </c>
      <c r="N32" s="71" t="str">
        <f>IF('[1]371 Community Livestock Assets '!M35="","",'[1]371 Community Livestock Assets '!M35)</f>
        <v/>
      </c>
      <c r="O32" s="71" t="str">
        <f>IF('[1]371 Community Livestock Assets '!N35="","",'[1]371 Community Livestock Assets '!N35)</f>
        <v/>
      </c>
      <c r="P32" s="71" t="str">
        <f>IF('[1]371 Community Livestock Assets '!O35="","",'[1]371 Community Livestock Assets '!O35)</f>
        <v/>
      </c>
      <c r="Q32" s="71" t="str">
        <f>IF('[1]371 Community Livestock Assets '!P35="","",'[1]371 Community Livestock Assets '!P35)</f>
        <v/>
      </c>
      <c r="R32" s="71" t="str">
        <f>IF('[1]371 Community Livestock Assets '!Q35="","",'[1]371 Community Livestock Assets '!Q35)</f>
        <v/>
      </c>
      <c r="S32" s="71" t="str">
        <f>IF('[1]371 Community Livestock Assets '!R35="","",'[1]371 Community Livestock Assets '!R35)</f>
        <v/>
      </c>
      <c r="T32" s="71" t="str">
        <f>IF('[1]371 Community Livestock Assets '!S35="","",'[1]371 Community Livestock Assets '!S35)</f>
        <v/>
      </c>
      <c r="U32" s="71" t="str">
        <f>IF('[1]371 Community Livestock Assets '!T35="","",'[1]371 Community Livestock Assets '!T35)</f>
        <v/>
      </c>
      <c r="V32" s="71" t="str">
        <f>IF('[1]371 Community Livestock Assets '!U35="","",'[1]371 Community Livestock Assets '!U35)</f>
        <v/>
      </c>
      <c r="W32" s="71" t="str">
        <f>IF('[1]371 Community Livestock Assets '!V35="","",'[1]371 Community Livestock Assets '!V35)</f>
        <v/>
      </c>
      <c r="X32" s="71" t="str">
        <f>IF('[1]371 Community Livestock Assets '!W35="","",'[1]371 Community Livestock Assets '!W35)</f>
        <v/>
      </c>
      <c r="Y32" s="71" t="str">
        <f>IF('[1]371 Community Livestock Assets '!X35="","",'[1]371 Community Livestock Assets '!X35)</f>
        <v/>
      </c>
      <c r="Z32" s="71" t="str">
        <f>IF('[1]371 Community Livestock Assets '!Y35="","",'[1]371 Community Livestock Assets '!Y35)</f>
        <v/>
      </c>
      <c r="AA32" s="71" t="str">
        <f>IF('[1]371 Community Livestock Assets '!Z35="","",'[1]371 Community Livestock Assets '!Z35)</f>
        <v/>
      </c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</row>
    <row r="33" spans="1:53" s="39" customFormat="1" ht="17" hidden="1" customHeight="1">
      <c r="A33" s="50"/>
      <c r="B33" s="93" t="str">
        <f>IF('[1]371 Community Livestock Assets '!B35=0," ",'[1]371 Community Livestock Assets '!B35)</f>
        <v xml:space="preserve"> </v>
      </c>
      <c r="C33" s="93" t="str">
        <f>IF('[1]371 Community Livestock Assets '!C36=0," ",'[1]371 Community Livestock Assets '!C36)</f>
        <v xml:space="preserve"> </v>
      </c>
      <c r="D33" s="88" t="str">
        <f t="shared" si="3"/>
        <v xml:space="preserve"> </v>
      </c>
      <c r="E33" s="71" t="str">
        <f>IF('[1]371 Community Livestock Assets '!D36="","",'[1]371 Community Livestock Assets '!D36)</f>
        <v/>
      </c>
      <c r="F33" s="71" t="str">
        <f>IF('[1]371 Community Livestock Assets '!E36="","",'[1]371 Community Livestock Assets '!E36)</f>
        <v/>
      </c>
      <c r="G33" s="71" t="str">
        <f>IF('[1]371 Community Livestock Assets '!F36="","",'[1]371 Community Livestock Assets '!F36)</f>
        <v/>
      </c>
      <c r="H33" s="71" t="str">
        <f>IF('[1]371 Community Livestock Assets '!G36="","",'[1]371 Community Livestock Assets '!G36)</f>
        <v/>
      </c>
      <c r="I33" s="71" t="str">
        <f>IF('[1]371 Community Livestock Assets '!H36="","",'[1]371 Community Livestock Assets '!H36)</f>
        <v/>
      </c>
      <c r="J33" s="71" t="str">
        <f>IF('[1]371 Community Livestock Assets '!I36="","",'[1]371 Community Livestock Assets '!I36)</f>
        <v/>
      </c>
      <c r="K33" s="71" t="str">
        <f>IF('[1]371 Community Livestock Assets '!J36="","",'[1]371 Community Livestock Assets '!J36)</f>
        <v/>
      </c>
      <c r="L33" s="71" t="str">
        <f>IF('[1]371 Community Livestock Assets '!K36="","",'[1]371 Community Livestock Assets '!K36)</f>
        <v/>
      </c>
      <c r="M33" s="71" t="str">
        <f>IF('[1]371 Community Livestock Assets '!L36="","",'[1]371 Community Livestock Assets '!L36)</f>
        <v/>
      </c>
      <c r="N33" s="71" t="str">
        <f>IF('[1]371 Community Livestock Assets '!M36="","",'[1]371 Community Livestock Assets '!M36)</f>
        <v/>
      </c>
      <c r="O33" s="71" t="str">
        <f>IF('[1]371 Community Livestock Assets '!N36="","",'[1]371 Community Livestock Assets '!N36)</f>
        <v/>
      </c>
      <c r="P33" s="71" t="str">
        <f>IF('[1]371 Community Livestock Assets '!O36="","",'[1]371 Community Livestock Assets '!O36)</f>
        <v/>
      </c>
      <c r="Q33" s="71" t="str">
        <f>IF('[1]371 Community Livestock Assets '!P36="","",'[1]371 Community Livestock Assets '!P36)</f>
        <v/>
      </c>
      <c r="R33" s="71" t="str">
        <f>IF('[1]371 Community Livestock Assets '!Q36="","",'[1]371 Community Livestock Assets '!Q36)</f>
        <v/>
      </c>
      <c r="S33" s="71" t="str">
        <f>IF('[1]371 Community Livestock Assets '!R36="","",'[1]371 Community Livestock Assets '!R36)</f>
        <v/>
      </c>
      <c r="T33" s="71" t="str">
        <f>IF('[1]371 Community Livestock Assets '!S36="","",'[1]371 Community Livestock Assets '!S36)</f>
        <v/>
      </c>
      <c r="U33" s="71" t="str">
        <f>IF('[1]371 Community Livestock Assets '!T36="","",'[1]371 Community Livestock Assets '!T36)</f>
        <v/>
      </c>
      <c r="V33" s="71" t="str">
        <f>IF('[1]371 Community Livestock Assets '!U36="","",'[1]371 Community Livestock Assets '!U36)</f>
        <v/>
      </c>
      <c r="W33" s="71" t="str">
        <f>IF('[1]371 Community Livestock Assets '!V36="","",'[1]371 Community Livestock Assets '!V36)</f>
        <v/>
      </c>
      <c r="X33" s="71" t="str">
        <f>IF('[1]371 Community Livestock Assets '!W36="","",'[1]371 Community Livestock Assets '!W36)</f>
        <v/>
      </c>
      <c r="Y33" s="71" t="str">
        <f>IF('[1]371 Community Livestock Assets '!X36="","",'[1]371 Community Livestock Assets '!X36)</f>
        <v/>
      </c>
      <c r="Z33" s="71" t="str">
        <f>IF('[1]371 Community Livestock Assets '!Y36="","",'[1]371 Community Livestock Assets '!Y36)</f>
        <v/>
      </c>
      <c r="AA33" s="71" t="str">
        <f>IF('[1]371 Community Livestock Assets '!Z36="","",'[1]371 Community Livestock Assets '!Z36)</f>
        <v/>
      </c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</row>
    <row r="34" spans="1:53" s="39" customFormat="1" ht="17" hidden="1" customHeight="1">
      <c r="A34" s="50"/>
      <c r="B34" s="93" t="str">
        <f>IF('[1]371 Community Livestock Assets '!B36=0," ",'[1]371 Community Livestock Assets '!B36)</f>
        <v xml:space="preserve"> </v>
      </c>
      <c r="C34" s="93" t="str">
        <f>IF('[1]371 Community Livestock Assets '!C37=0," ",'[1]371 Community Livestock Assets '!C37)</f>
        <v xml:space="preserve"> </v>
      </c>
      <c r="D34" s="88" t="str">
        <f t="shared" si="3"/>
        <v xml:space="preserve"> </v>
      </c>
      <c r="E34" s="71" t="str">
        <f>IF('[1]371 Community Livestock Assets '!D37="","",'[1]371 Community Livestock Assets '!D37)</f>
        <v/>
      </c>
      <c r="F34" s="71" t="str">
        <f>IF('[1]371 Community Livestock Assets '!E37="","",'[1]371 Community Livestock Assets '!E37)</f>
        <v/>
      </c>
      <c r="G34" s="71" t="str">
        <f>IF('[1]371 Community Livestock Assets '!F37="","",'[1]371 Community Livestock Assets '!F37)</f>
        <v/>
      </c>
      <c r="H34" s="71" t="str">
        <f>IF('[1]371 Community Livestock Assets '!G37="","",'[1]371 Community Livestock Assets '!G37)</f>
        <v/>
      </c>
      <c r="I34" s="71" t="str">
        <f>IF('[1]371 Community Livestock Assets '!H37="","",'[1]371 Community Livestock Assets '!H37)</f>
        <v/>
      </c>
      <c r="J34" s="71" t="str">
        <f>IF('[1]371 Community Livestock Assets '!I37="","",'[1]371 Community Livestock Assets '!I37)</f>
        <v/>
      </c>
      <c r="K34" s="71" t="str">
        <f>IF('[1]371 Community Livestock Assets '!J37="","",'[1]371 Community Livestock Assets '!J37)</f>
        <v/>
      </c>
      <c r="L34" s="71" t="str">
        <f>IF('[1]371 Community Livestock Assets '!K37="","",'[1]371 Community Livestock Assets '!K37)</f>
        <v/>
      </c>
      <c r="M34" s="71" t="str">
        <f>IF('[1]371 Community Livestock Assets '!L37="","",'[1]371 Community Livestock Assets '!L37)</f>
        <v/>
      </c>
      <c r="N34" s="71" t="str">
        <f>IF('[1]371 Community Livestock Assets '!M37="","",'[1]371 Community Livestock Assets '!M37)</f>
        <v/>
      </c>
      <c r="O34" s="71" t="str">
        <f>IF('[1]371 Community Livestock Assets '!N37="","",'[1]371 Community Livestock Assets '!N37)</f>
        <v/>
      </c>
      <c r="P34" s="71" t="str">
        <f>IF('[1]371 Community Livestock Assets '!O37="","",'[1]371 Community Livestock Assets '!O37)</f>
        <v/>
      </c>
      <c r="Q34" s="71" t="str">
        <f>IF('[1]371 Community Livestock Assets '!P37="","",'[1]371 Community Livestock Assets '!P37)</f>
        <v/>
      </c>
      <c r="R34" s="71" t="str">
        <f>IF('[1]371 Community Livestock Assets '!Q37="","",'[1]371 Community Livestock Assets '!Q37)</f>
        <v/>
      </c>
      <c r="S34" s="71" t="str">
        <f>IF('[1]371 Community Livestock Assets '!R37="","",'[1]371 Community Livestock Assets '!R37)</f>
        <v/>
      </c>
      <c r="T34" s="71" t="str">
        <f>IF('[1]371 Community Livestock Assets '!S37="","",'[1]371 Community Livestock Assets '!S37)</f>
        <v/>
      </c>
      <c r="U34" s="71" t="str">
        <f>IF('[1]371 Community Livestock Assets '!T37="","",'[1]371 Community Livestock Assets '!T37)</f>
        <v/>
      </c>
      <c r="V34" s="71" t="str">
        <f>IF('[1]371 Community Livestock Assets '!U37="","",'[1]371 Community Livestock Assets '!U37)</f>
        <v/>
      </c>
      <c r="W34" s="71" t="str">
        <f>IF('[1]371 Community Livestock Assets '!V37="","",'[1]371 Community Livestock Assets '!V37)</f>
        <v/>
      </c>
      <c r="X34" s="71" t="str">
        <f>IF('[1]371 Community Livestock Assets '!W37="","",'[1]371 Community Livestock Assets '!W37)</f>
        <v/>
      </c>
      <c r="Y34" s="71" t="str">
        <f>IF('[1]371 Community Livestock Assets '!X37="","",'[1]371 Community Livestock Assets '!X37)</f>
        <v/>
      </c>
      <c r="Z34" s="71" t="str">
        <f>IF('[1]371 Community Livestock Assets '!Y37="","",'[1]371 Community Livestock Assets '!Y37)</f>
        <v/>
      </c>
      <c r="AA34" s="71" t="str">
        <f>IF('[1]371 Community Livestock Assets '!Z37="","",'[1]371 Community Livestock Assets '!Z37)</f>
        <v/>
      </c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</row>
    <row r="35" spans="1:53" s="39" customFormat="1" ht="17" hidden="1" customHeight="1">
      <c r="A35" s="50"/>
      <c r="B35" s="93" t="str">
        <f>IF('[1]371 Community Livestock Assets '!B37=0," ",'[1]371 Community Livestock Assets '!B37)</f>
        <v xml:space="preserve"> </v>
      </c>
      <c r="C35" s="93" t="str">
        <f>IF('[1]371 Community Livestock Assets '!C38=0," ",'[1]371 Community Livestock Assets '!C38)</f>
        <v xml:space="preserve"> </v>
      </c>
      <c r="D35" s="88" t="str">
        <f t="shared" si="3"/>
        <v xml:space="preserve"> </v>
      </c>
      <c r="E35" s="71" t="str">
        <f>IF('[1]371 Community Livestock Assets '!D38="","",'[1]371 Community Livestock Assets '!D38)</f>
        <v/>
      </c>
      <c r="F35" s="71" t="str">
        <f>IF('[1]371 Community Livestock Assets '!E38="","",'[1]371 Community Livestock Assets '!E38)</f>
        <v/>
      </c>
      <c r="G35" s="71" t="str">
        <f>IF('[1]371 Community Livestock Assets '!F38="","",'[1]371 Community Livestock Assets '!F38)</f>
        <v/>
      </c>
      <c r="H35" s="71" t="str">
        <f>IF('[1]371 Community Livestock Assets '!G38="","",'[1]371 Community Livestock Assets '!G38)</f>
        <v/>
      </c>
      <c r="I35" s="71" t="str">
        <f>IF('[1]371 Community Livestock Assets '!H38="","",'[1]371 Community Livestock Assets '!H38)</f>
        <v/>
      </c>
      <c r="J35" s="71" t="str">
        <f>IF('[1]371 Community Livestock Assets '!I38="","",'[1]371 Community Livestock Assets '!I38)</f>
        <v/>
      </c>
      <c r="K35" s="71" t="str">
        <f>IF('[1]371 Community Livestock Assets '!J38="","",'[1]371 Community Livestock Assets '!J38)</f>
        <v/>
      </c>
      <c r="L35" s="71" t="str">
        <f>IF('[1]371 Community Livestock Assets '!K38="","",'[1]371 Community Livestock Assets '!K38)</f>
        <v/>
      </c>
      <c r="M35" s="71" t="str">
        <f>IF('[1]371 Community Livestock Assets '!L38="","",'[1]371 Community Livestock Assets '!L38)</f>
        <v/>
      </c>
      <c r="N35" s="71" t="str">
        <f>IF('[1]371 Community Livestock Assets '!M38="","",'[1]371 Community Livestock Assets '!M38)</f>
        <v/>
      </c>
      <c r="O35" s="71" t="str">
        <f>IF('[1]371 Community Livestock Assets '!N38="","",'[1]371 Community Livestock Assets '!N38)</f>
        <v/>
      </c>
      <c r="P35" s="71" t="str">
        <f>IF('[1]371 Community Livestock Assets '!O38="","",'[1]371 Community Livestock Assets '!O38)</f>
        <v/>
      </c>
      <c r="Q35" s="71" t="str">
        <f>IF('[1]371 Community Livestock Assets '!P38="","",'[1]371 Community Livestock Assets '!P38)</f>
        <v/>
      </c>
      <c r="R35" s="71" t="str">
        <f>IF('[1]371 Community Livestock Assets '!Q38="","",'[1]371 Community Livestock Assets '!Q38)</f>
        <v/>
      </c>
      <c r="S35" s="71" t="str">
        <f>IF('[1]371 Community Livestock Assets '!R38="","",'[1]371 Community Livestock Assets '!R38)</f>
        <v/>
      </c>
      <c r="T35" s="71" t="str">
        <f>IF('[1]371 Community Livestock Assets '!S38="","",'[1]371 Community Livestock Assets '!S38)</f>
        <v/>
      </c>
      <c r="U35" s="71" t="str">
        <f>IF('[1]371 Community Livestock Assets '!T38="","",'[1]371 Community Livestock Assets '!T38)</f>
        <v/>
      </c>
      <c r="V35" s="71" t="str">
        <f>IF('[1]371 Community Livestock Assets '!U38="","",'[1]371 Community Livestock Assets '!U38)</f>
        <v/>
      </c>
      <c r="W35" s="71" t="str">
        <f>IF('[1]371 Community Livestock Assets '!V38="","",'[1]371 Community Livestock Assets '!V38)</f>
        <v/>
      </c>
      <c r="X35" s="71" t="str">
        <f>IF('[1]371 Community Livestock Assets '!W38="","",'[1]371 Community Livestock Assets '!W38)</f>
        <v/>
      </c>
      <c r="Y35" s="71" t="str">
        <f>IF('[1]371 Community Livestock Assets '!X38="","",'[1]371 Community Livestock Assets '!X38)</f>
        <v/>
      </c>
      <c r="Z35" s="71" t="str">
        <f>IF('[1]371 Community Livestock Assets '!Y38="","",'[1]371 Community Livestock Assets '!Y38)</f>
        <v/>
      </c>
      <c r="AA35" s="71" t="str">
        <f>IF('[1]371 Community Livestock Assets '!Z38="","",'[1]371 Community Livestock Assets '!Z38)</f>
        <v/>
      </c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</row>
    <row r="36" spans="1:53" s="39" customFormat="1" ht="17" hidden="1" customHeight="1">
      <c r="A36" s="50"/>
      <c r="B36" s="93" t="str">
        <f>IF('[1]371 Community Livestock Assets '!B38=0," ",'[1]371 Community Livestock Assets '!B38)</f>
        <v xml:space="preserve"> </v>
      </c>
      <c r="C36" s="93" t="str">
        <f>IF('[1]371 Community Livestock Assets '!C39=0," ",'[1]371 Community Livestock Assets '!C39)</f>
        <v xml:space="preserve"> </v>
      </c>
      <c r="D36" s="88" t="str">
        <f t="shared" si="3"/>
        <v xml:space="preserve"> </v>
      </c>
      <c r="E36" s="71" t="str">
        <f>IF('[1]371 Community Livestock Assets '!D39="","",'[1]371 Community Livestock Assets '!D39)</f>
        <v/>
      </c>
      <c r="F36" s="71" t="str">
        <f>IF('[1]371 Community Livestock Assets '!E39="","",'[1]371 Community Livestock Assets '!E39)</f>
        <v/>
      </c>
      <c r="G36" s="71" t="str">
        <f>IF('[1]371 Community Livestock Assets '!F39="","",'[1]371 Community Livestock Assets '!F39)</f>
        <v/>
      </c>
      <c r="H36" s="71" t="str">
        <f>IF('[1]371 Community Livestock Assets '!G39="","",'[1]371 Community Livestock Assets '!G39)</f>
        <v/>
      </c>
      <c r="I36" s="71" t="str">
        <f>IF('[1]371 Community Livestock Assets '!H39="","",'[1]371 Community Livestock Assets '!H39)</f>
        <v/>
      </c>
      <c r="J36" s="71" t="str">
        <f>IF('[1]371 Community Livestock Assets '!I39="","",'[1]371 Community Livestock Assets '!I39)</f>
        <v/>
      </c>
      <c r="K36" s="71" t="str">
        <f>IF('[1]371 Community Livestock Assets '!J39="","",'[1]371 Community Livestock Assets '!J39)</f>
        <v/>
      </c>
      <c r="L36" s="71" t="str">
        <f>IF('[1]371 Community Livestock Assets '!K39="","",'[1]371 Community Livestock Assets '!K39)</f>
        <v/>
      </c>
      <c r="M36" s="71" t="str">
        <f>IF('[1]371 Community Livestock Assets '!L39="","",'[1]371 Community Livestock Assets '!L39)</f>
        <v/>
      </c>
      <c r="N36" s="71" t="str">
        <f>IF('[1]371 Community Livestock Assets '!M39="","",'[1]371 Community Livestock Assets '!M39)</f>
        <v/>
      </c>
      <c r="O36" s="71" t="str">
        <f>IF('[1]371 Community Livestock Assets '!N39="","",'[1]371 Community Livestock Assets '!N39)</f>
        <v/>
      </c>
      <c r="P36" s="71" t="str">
        <f>IF('[1]371 Community Livestock Assets '!O39="","",'[1]371 Community Livestock Assets '!O39)</f>
        <v/>
      </c>
      <c r="Q36" s="71" t="str">
        <f>IF('[1]371 Community Livestock Assets '!P39="","",'[1]371 Community Livestock Assets '!P39)</f>
        <v/>
      </c>
      <c r="R36" s="71" t="str">
        <f>IF('[1]371 Community Livestock Assets '!Q39="","",'[1]371 Community Livestock Assets '!Q39)</f>
        <v/>
      </c>
      <c r="S36" s="71" t="str">
        <f>IF('[1]371 Community Livestock Assets '!R39="","",'[1]371 Community Livestock Assets '!R39)</f>
        <v/>
      </c>
      <c r="T36" s="71" t="str">
        <f>IF('[1]371 Community Livestock Assets '!S39="","",'[1]371 Community Livestock Assets '!S39)</f>
        <v/>
      </c>
      <c r="U36" s="71" t="str">
        <f>IF('[1]371 Community Livestock Assets '!T39="","",'[1]371 Community Livestock Assets '!T39)</f>
        <v/>
      </c>
      <c r="V36" s="71" t="str">
        <f>IF('[1]371 Community Livestock Assets '!U39="","",'[1]371 Community Livestock Assets '!U39)</f>
        <v/>
      </c>
      <c r="W36" s="71" t="str">
        <f>IF('[1]371 Community Livestock Assets '!V39="","",'[1]371 Community Livestock Assets '!V39)</f>
        <v/>
      </c>
      <c r="X36" s="71" t="str">
        <f>IF('[1]371 Community Livestock Assets '!W39="","",'[1]371 Community Livestock Assets '!W39)</f>
        <v/>
      </c>
      <c r="Y36" s="71" t="str">
        <f>IF('[1]371 Community Livestock Assets '!X39="","",'[1]371 Community Livestock Assets '!X39)</f>
        <v/>
      </c>
      <c r="Z36" s="71" t="str">
        <f>IF('[1]371 Community Livestock Assets '!Y39="","",'[1]371 Community Livestock Assets '!Y39)</f>
        <v/>
      </c>
      <c r="AA36" s="71" t="str">
        <f>IF('[1]371 Community Livestock Assets '!Z39="","",'[1]371 Community Livestock Assets '!Z39)</f>
        <v/>
      </c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</row>
    <row r="37" spans="1:53" s="39" customFormat="1" ht="17" hidden="1" customHeight="1">
      <c r="A37" s="50"/>
      <c r="B37" s="93" t="str">
        <f>IF('[1]371 Community Livestock Assets '!B39=0," ",'[1]371 Community Livestock Assets '!B39)</f>
        <v xml:space="preserve"> </v>
      </c>
      <c r="C37" s="93" t="str">
        <f>IF('[1]371 Community Livestock Assets '!C40=0," ",'[1]371 Community Livestock Assets '!C40)</f>
        <v xml:space="preserve"> </v>
      </c>
      <c r="D37" s="88" t="str">
        <f t="shared" si="3"/>
        <v xml:space="preserve"> </v>
      </c>
      <c r="E37" s="71" t="str">
        <f>IF('[1]371 Community Livestock Assets '!D40="","",'[1]371 Community Livestock Assets '!D40)</f>
        <v/>
      </c>
      <c r="F37" s="71" t="str">
        <f>IF('[1]371 Community Livestock Assets '!E40="","",'[1]371 Community Livestock Assets '!E40)</f>
        <v/>
      </c>
      <c r="G37" s="71" t="str">
        <f>IF('[1]371 Community Livestock Assets '!F40="","",'[1]371 Community Livestock Assets '!F40)</f>
        <v/>
      </c>
      <c r="H37" s="71" t="str">
        <f>IF('[1]371 Community Livestock Assets '!G40="","",'[1]371 Community Livestock Assets '!G40)</f>
        <v/>
      </c>
      <c r="I37" s="71" t="str">
        <f>IF('[1]371 Community Livestock Assets '!H40="","",'[1]371 Community Livestock Assets '!H40)</f>
        <v/>
      </c>
      <c r="J37" s="71" t="str">
        <f>IF('[1]371 Community Livestock Assets '!I40="","",'[1]371 Community Livestock Assets '!I40)</f>
        <v/>
      </c>
      <c r="K37" s="71" t="str">
        <f>IF('[1]371 Community Livestock Assets '!J40="","",'[1]371 Community Livestock Assets '!J40)</f>
        <v/>
      </c>
      <c r="L37" s="71" t="str">
        <f>IF('[1]371 Community Livestock Assets '!K40="","",'[1]371 Community Livestock Assets '!K40)</f>
        <v/>
      </c>
      <c r="M37" s="71" t="str">
        <f>IF('[1]371 Community Livestock Assets '!L40="","",'[1]371 Community Livestock Assets '!L40)</f>
        <v/>
      </c>
      <c r="N37" s="71" t="str">
        <f>IF('[1]371 Community Livestock Assets '!M40="","",'[1]371 Community Livestock Assets '!M40)</f>
        <v/>
      </c>
      <c r="O37" s="71" t="str">
        <f>IF('[1]371 Community Livestock Assets '!N40="","",'[1]371 Community Livestock Assets '!N40)</f>
        <v/>
      </c>
      <c r="P37" s="71" t="str">
        <f>IF('[1]371 Community Livestock Assets '!O40="","",'[1]371 Community Livestock Assets '!O40)</f>
        <v/>
      </c>
      <c r="Q37" s="71" t="str">
        <f>IF('[1]371 Community Livestock Assets '!P40="","",'[1]371 Community Livestock Assets '!P40)</f>
        <v/>
      </c>
      <c r="R37" s="71" t="str">
        <f>IF('[1]371 Community Livestock Assets '!Q40="","",'[1]371 Community Livestock Assets '!Q40)</f>
        <v/>
      </c>
      <c r="S37" s="71" t="str">
        <f>IF('[1]371 Community Livestock Assets '!R40="","",'[1]371 Community Livestock Assets '!R40)</f>
        <v/>
      </c>
      <c r="T37" s="71" t="str">
        <f>IF('[1]371 Community Livestock Assets '!S40="","",'[1]371 Community Livestock Assets '!S40)</f>
        <v/>
      </c>
      <c r="U37" s="71" t="str">
        <f>IF('[1]371 Community Livestock Assets '!T40="","",'[1]371 Community Livestock Assets '!T40)</f>
        <v/>
      </c>
      <c r="V37" s="71" t="str">
        <f>IF('[1]371 Community Livestock Assets '!U40="","",'[1]371 Community Livestock Assets '!U40)</f>
        <v/>
      </c>
      <c r="W37" s="71" t="str">
        <f>IF('[1]371 Community Livestock Assets '!V40="","",'[1]371 Community Livestock Assets '!V40)</f>
        <v/>
      </c>
      <c r="X37" s="71" t="str">
        <f>IF('[1]371 Community Livestock Assets '!W40="","",'[1]371 Community Livestock Assets '!W40)</f>
        <v/>
      </c>
      <c r="Y37" s="71" t="str">
        <f>IF('[1]371 Community Livestock Assets '!X40="","",'[1]371 Community Livestock Assets '!X40)</f>
        <v/>
      </c>
      <c r="Z37" s="71" t="str">
        <f>IF('[1]371 Community Livestock Assets '!Y40="","",'[1]371 Community Livestock Assets '!Y40)</f>
        <v/>
      </c>
      <c r="AA37" s="71" t="str">
        <f>IF('[1]371 Community Livestock Assets '!Z40="","",'[1]371 Community Livestock Assets '!Z40)</f>
        <v/>
      </c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</row>
    <row r="38" spans="1:53" s="39" customFormat="1" ht="17" hidden="1" customHeight="1">
      <c r="A38" s="50"/>
      <c r="B38" s="93" t="str">
        <f>IF('[1]371 Community Livestock Assets '!B40=0," ",'[1]371 Community Livestock Assets '!B40)</f>
        <v xml:space="preserve"> </v>
      </c>
      <c r="C38" s="93" t="str">
        <f>IF('[1]371 Community Livestock Assets '!C41=0," ",'[1]371 Community Livestock Assets '!C41)</f>
        <v xml:space="preserve"> </v>
      </c>
      <c r="D38" s="88" t="str">
        <f t="shared" si="3"/>
        <v xml:space="preserve"> </v>
      </c>
      <c r="E38" s="71" t="str">
        <f>IF('[1]371 Community Livestock Assets '!D41="","",'[1]371 Community Livestock Assets '!D41)</f>
        <v/>
      </c>
      <c r="F38" s="71" t="str">
        <f>IF('[1]371 Community Livestock Assets '!E41="","",'[1]371 Community Livestock Assets '!E41)</f>
        <v/>
      </c>
      <c r="G38" s="71" t="str">
        <f>IF('[1]371 Community Livestock Assets '!F41="","",'[1]371 Community Livestock Assets '!F41)</f>
        <v/>
      </c>
      <c r="H38" s="71" t="str">
        <f>IF('[1]371 Community Livestock Assets '!G41="","",'[1]371 Community Livestock Assets '!G41)</f>
        <v/>
      </c>
      <c r="I38" s="71" t="str">
        <f>IF('[1]371 Community Livestock Assets '!H41="","",'[1]371 Community Livestock Assets '!H41)</f>
        <v/>
      </c>
      <c r="J38" s="71" t="str">
        <f>IF('[1]371 Community Livestock Assets '!I41="","",'[1]371 Community Livestock Assets '!I41)</f>
        <v/>
      </c>
      <c r="K38" s="71" t="str">
        <f>IF('[1]371 Community Livestock Assets '!J41="","",'[1]371 Community Livestock Assets '!J41)</f>
        <v/>
      </c>
      <c r="L38" s="71" t="str">
        <f>IF('[1]371 Community Livestock Assets '!K41="","",'[1]371 Community Livestock Assets '!K41)</f>
        <v/>
      </c>
      <c r="M38" s="71" t="str">
        <f>IF('[1]371 Community Livestock Assets '!L41="","",'[1]371 Community Livestock Assets '!L41)</f>
        <v/>
      </c>
      <c r="N38" s="71" t="str">
        <f>IF('[1]371 Community Livestock Assets '!M41="","",'[1]371 Community Livestock Assets '!M41)</f>
        <v/>
      </c>
      <c r="O38" s="71" t="str">
        <f>IF('[1]371 Community Livestock Assets '!N41="","",'[1]371 Community Livestock Assets '!N41)</f>
        <v/>
      </c>
      <c r="P38" s="71" t="str">
        <f>IF('[1]371 Community Livestock Assets '!O41="","",'[1]371 Community Livestock Assets '!O41)</f>
        <v/>
      </c>
      <c r="Q38" s="71" t="str">
        <f>IF('[1]371 Community Livestock Assets '!P41="","",'[1]371 Community Livestock Assets '!P41)</f>
        <v/>
      </c>
      <c r="R38" s="71" t="str">
        <f>IF('[1]371 Community Livestock Assets '!Q41="","",'[1]371 Community Livestock Assets '!Q41)</f>
        <v/>
      </c>
      <c r="S38" s="71" t="str">
        <f>IF('[1]371 Community Livestock Assets '!R41="","",'[1]371 Community Livestock Assets '!R41)</f>
        <v/>
      </c>
      <c r="T38" s="71" t="str">
        <f>IF('[1]371 Community Livestock Assets '!S41="","",'[1]371 Community Livestock Assets '!S41)</f>
        <v/>
      </c>
      <c r="U38" s="71" t="str">
        <f>IF('[1]371 Community Livestock Assets '!T41="","",'[1]371 Community Livestock Assets '!T41)</f>
        <v/>
      </c>
      <c r="V38" s="71" t="str">
        <f>IF('[1]371 Community Livestock Assets '!U41="","",'[1]371 Community Livestock Assets '!U41)</f>
        <v/>
      </c>
      <c r="W38" s="71" t="str">
        <f>IF('[1]371 Community Livestock Assets '!V41="","",'[1]371 Community Livestock Assets '!V41)</f>
        <v/>
      </c>
      <c r="X38" s="71" t="str">
        <f>IF('[1]371 Community Livestock Assets '!W41="","",'[1]371 Community Livestock Assets '!W41)</f>
        <v/>
      </c>
      <c r="Y38" s="71" t="str">
        <f>IF('[1]371 Community Livestock Assets '!X41="","",'[1]371 Community Livestock Assets '!X41)</f>
        <v/>
      </c>
      <c r="Z38" s="71" t="str">
        <f>IF('[1]371 Community Livestock Assets '!Y41="","",'[1]371 Community Livestock Assets '!Y41)</f>
        <v/>
      </c>
      <c r="AA38" s="71" t="str">
        <f>IF('[1]371 Community Livestock Assets '!Z41="","",'[1]371 Community Livestock Assets '!Z41)</f>
        <v/>
      </c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</row>
    <row r="39" spans="1:53" s="39" customFormat="1" ht="17" hidden="1" customHeight="1">
      <c r="A39" s="50"/>
      <c r="B39" s="93" t="str">
        <f>IF('[1]371 Community Livestock Assets '!B41=0," ",'[1]371 Community Livestock Assets '!B41)</f>
        <v xml:space="preserve"> </v>
      </c>
      <c r="C39" s="93" t="str">
        <f>IF('[1]371 Community Livestock Assets '!C42=0," ",'[1]371 Community Livestock Assets '!C42)</f>
        <v xml:space="preserve"> </v>
      </c>
      <c r="D39" s="88" t="str">
        <f t="shared" si="3"/>
        <v xml:space="preserve"> </v>
      </c>
      <c r="E39" s="71" t="str">
        <f>IF('[1]371 Community Livestock Assets '!D42="","",'[1]371 Community Livestock Assets '!D42)</f>
        <v/>
      </c>
      <c r="F39" s="71" t="str">
        <f>IF('[1]371 Community Livestock Assets '!E42="","",'[1]371 Community Livestock Assets '!E42)</f>
        <v/>
      </c>
      <c r="G39" s="71" t="str">
        <f>IF('[1]371 Community Livestock Assets '!F42="","",'[1]371 Community Livestock Assets '!F42)</f>
        <v/>
      </c>
      <c r="H39" s="71" t="str">
        <f>IF('[1]371 Community Livestock Assets '!G42="","",'[1]371 Community Livestock Assets '!G42)</f>
        <v/>
      </c>
      <c r="I39" s="71" t="str">
        <f>IF('[1]371 Community Livestock Assets '!H42="","",'[1]371 Community Livestock Assets '!H42)</f>
        <v/>
      </c>
      <c r="J39" s="71" t="str">
        <f>IF('[1]371 Community Livestock Assets '!I42="","",'[1]371 Community Livestock Assets '!I42)</f>
        <v/>
      </c>
      <c r="K39" s="71" t="str">
        <f>IF('[1]371 Community Livestock Assets '!J42="","",'[1]371 Community Livestock Assets '!J42)</f>
        <v/>
      </c>
      <c r="L39" s="71" t="str">
        <f>IF('[1]371 Community Livestock Assets '!K42="","",'[1]371 Community Livestock Assets '!K42)</f>
        <v/>
      </c>
      <c r="M39" s="71" t="str">
        <f>IF('[1]371 Community Livestock Assets '!L42="","",'[1]371 Community Livestock Assets '!L42)</f>
        <v/>
      </c>
      <c r="N39" s="71" t="str">
        <f>IF('[1]371 Community Livestock Assets '!M42="","",'[1]371 Community Livestock Assets '!M42)</f>
        <v/>
      </c>
      <c r="O39" s="71" t="str">
        <f>IF('[1]371 Community Livestock Assets '!N42="","",'[1]371 Community Livestock Assets '!N42)</f>
        <v/>
      </c>
      <c r="P39" s="71" t="str">
        <f>IF('[1]371 Community Livestock Assets '!O42="","",'[1]371 Community Livestock Assets '!O42)</f>
        <v/>
      </c>
      <c r="Q39" s="71" t="str">
        <f>IF('[1]371 Community Livestock Assets '!P42="","",'[1]371 Community Livestock Assets '!P42)</f>
        <v/>
      </c>
      <c r="R39" s="71" t="str">
        <f>IF('[1]371 Community Livestock Assets '!Q42="","",'[1]371 Community Livestock Assets '!Q42)</f>
        <v/>
      </c>
      <c r="S39" s="71" t="str">
        <f>IF('[1]371 Community Livestock Assets '!R42="","",'[1]371 Community Livestock Assets '!R42)</f>
        <v/>
      </c>
      <c r="T39" s="71" t="str">
        <f>IF('[1]371 Community Livestock Assets '!S42="","",'[1]371 Community Livestock Assets '!S42)</f>
        <v/>
      </c>
      <c r="U39" s="71" t="str">
        <f>IF('[1]371 Community Livestock Assets '!T42="","",'[1]371 Community Livestock Assets '!T42)</f>
        <v/>
      </c>
      <c r="V39" s="71" t="str">
        <f>IF('[1]371 Community Livestock Assets '!U42="","",'[1]371 Community Livestock Assets '!U42)</f>
        <v/>
      </c>
      <c r="W39" s="71" t="str">
        <f>IF('[1]371 Community Livestock Assets '!V42="","",'[1]371 Community Livestock Assets '!V42)</f>
        <v/>
      </c>
      <c r="X39" s="71" t="str">
        <f>IF('[1]371 Community Livestock Assets '!W42="","",'[1]371 Community Livestock Assets '!W42)</f>
        <v/>
      </c>
      <c r="Y39" s="71" t="str">
        <f>IF('[1]371 Community Livestock Assets '!X42="","",'[1]371 Community Livestock Assets '!X42)</f>
        <v/>
      </c>
      <c r="Z39" s="71" t="str">
        <f>IF('[1]371 Community Livestock Assets '!Y42="","",'[1]371 Community Livestock Assets '!Y42)</f>
        <v/>
      </c>
      <c r="AA39" s="71" t="str">
        <f>IF('[1]371 Community Livestock Assets '!Z42="","",'[1]371 Community Livestock Assets '!Z42)</f>
        <v/>
      </c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</row>
    <row r="40" spans="1:53" s="39" customFormat="1" ht="17" hidden="1" customHeight="1">
      <c r="A40" s="50"/>
      <c r="B40" s="93" t="str">
        <f>IF('[1]371 Community Livestock Assets '!B42=0," ",'[1]371 Community Livestock Assets '!B42)</f>
        <v xml:space="preserve"> </v>
      </c>
      <c r="C40" s="93" t="str">
        <f>IF('[1]371 Community Livestock Assets '!C43=0," ",'[1]371 Community Livestock Assets '!C43)</f>
        <v xml:space="preserve"> </v>
      </c>
      <c r="D40" s="88" t="str">
        <f t="shared" si="3"/>
        <v xml:space="preserve"> </v>
      </c>
      <c r="E40" s="71" t="str">
        <f>IF('[1]371 Community Livestock Assets '!D43="","",'[1]371 Community Livestock Assets '!D43)</f>
        <v/>
      </c>
      <c r="F40" s="71" t="str">
        <f>IF('[1]371 Community Livestock Assets '!E43="","",'[1]371 Community Livestock Assets '!E43)</f>
        <v/>
      </c>
      <c r="G40" s="71" t="str">
        <f>IF('[1]371 Community Livestock Assets '!F43="","",'[1]371 Community Livestock Assets '!F43)</f>
        <v/>
      </c>
      <c r="H40" s="71" t="str">
        <f>IF('[1]371 Community Livestock Assets '!G43="","",'[1]371 Community Livestock Assets '!G43)</f>
        <v/>
      </c>
      <c r="I40" s="71" t="str">
        <f>IF('[1]371 Community Livestock Assets '!H43="","",'[1]371 Community Livestock Assets '!H43)</f>
        <v/>
      </c>
      <c r="J40" s="71" t="str">
        <f>IF('[1]371 Community Livestock Assets '!I43="","",'[1]371 Community Livestock Assets '!I43)</f>
        <v/>
      </c>
      <c r="K40" s="71" t="str">
        <f>IF('[1]371 Community Livestock Assets '!J43="","",'[1]371 Community Livestock Assets '!J43)</f>
        <v/>
      </c>
      <c r="L40" s="71" t="str">
        <f>IF('[1]371 Community Livestock Assets '!K43="","",'[1]371 Community Livestock Assets '!K43)</f>
        <v/>
      </c>
      <c r="M40" s="71" t="str">
        <f>IF('[1]371 Community Livestock Assets '!L43="","",'[1]371 Community Livestock Assets '!L43)</f>
        <v/>
      </c>
      <c r="N40" s="71" t="str">
        <f>IF('[1]371 Community Livestock Assets '!M43="","",'[1]371 Community Livestock Assets '!M43)</f>
        <v/>
      </c>
      <c r="O40" s="71" t="str">
        <f>IF('[1]371 Community Livestock Assets '!N43="","",'[1]371 Community Livestock Assets '!N43)</f>
        <v/>
      </c>
      <c r="P40" s="71" t="str">
        <f>IF('[1]371 Community Livestock Assets '!O43="","",'[1]371 Community Livestock Assets '!O43)</f>
        <v/>
      </c>
      <c r="Q40" s="71" t="str">
        <f>IF('[1]371 Community Livestock Assets '!P43="","",'[1]371 Community Livestock Assets '!P43)</f>
        <v/>
      </c>
      <c r="R40" s="71" t="str">
        <f>IF('[1]371 Community Livestock Assets '!Q43="","",'[1]371 Community Livestock Assets '!Q43)</f>
        <v/>
      </c>
      <c r="S40" s="71" t="str">
        <f>IF('[1]371 Community Livestock Assets '!R43="","",'[1]371 Community Livestock Assets '!R43)</f>
        <v/>
      </c>
      <c r="T40" s="71" t="str">
        <f>IF('[1]371 Community Livestock Assets '!S43="","",'[1]371 Community Livestock Assets '!S43)</f>
        <v/>
      </c>
      <c r="U40" s="71" t="str">
        <f>IF('[1]371 Community Livestock Assets '!T43="","",'[1]371 Community Livestock Assets '!T43)</f>
        <v/>
      </c>
      <c r="V40" s="71" t="str">
        <f>IF('[1]371 Community Livestock Assets '!U43="","",'[1]371 Community Livestock Assets '!U43)</f>
        <v/>
      </c>
      <c r="W40" s="71" t="str">
        <f>IF('[1]371 Community Livestock Assets '!V43="","",'[1]371 Community Livestock Assets '!V43)</f>
        <v/>
      </c>
      <c r="X40" s="71" t="str">
        <f>IF('[1]371 Community Livestock Assets '!W43="","",'[1]371 Community Livestock Assets '!W43)</f>
        <v/>
      </c>
      <c r="Y40" s="71" t="str">
        <f>IF('[1]371 Community Livestock Assets '!X43="","",'[1]371 Community Livestock Assets '!X43)</f>
        <v/>
      </c>
      <c r="Z40" s="71" t="str">
        <f>IF('[1]371 Community Livestock Assets '!Y43="","",'[1]371 Community Livestock Assets '!Y43)</f>
        <v/>
      </c>
      <c r="AA40" s="71" t="str">
        <f>IF('[1]371 Community Livestock Assets '!Z43="","",'[1]371 Community Livestock Assets '!Z43)</f>
        <v/>
      </c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</row>
    <row r="41" spans="1:53" s="39" customFormat="1" ht="17" hidden="1" customHeight="1">
      <c r="A41" s="50"/>
      <c r="B41" s="93" t="str">
        <f>IF('[1]371 Community Livestock Assets '!B43=0," ",'[1]371 Community Livestock Assets '!B43)</f>
        <v xml:space="preserve"> </v>
      </c>
      <c r="C41" s="93" t="str">
        <f>IF('[1]371 Community Livestock Assets '!C44=0," ",'[1]371 Community Livestock Assets '!C44)</f>
        <v xml:space="preserve"> </v>
      </c>
      <c r="D41" s="88" t="str">
        <f t="shared" si="3"/>
        <v xml:space="preserve"> </v>
      </c>
      <c r="E41" s="71" t="str">
        <f>IF('[1]371 Community Livestock Assets '!D44="","",'[1]371 Community Livestock Assets '!D44)</f>
        <v/>
      </c>
      <c r="F41" s="71" t="str">
        <f>IF('[1]371 Community Livestock Assets '!E44="","",'[1]371 Community Livestock Assets '!E44)</f>
        <v/>
      </c>
      <c r="G41" s="71" t="str">
        <f>IF('[1]371 Community Livestock Assets '!F44="","",'[1]371 Community Livestock Assets '!F44)</f>
        <v/>
      </c>
      <c r="H41" s="71" t="str">
        <f>IF('[1]371 Community Livestock Assets '!G44="","",'[1]371 Community Livestock Assets '!G44)</f>
        <v/>
      </c>
      <c r="I41" s="71" t="str">
        <f>IF('[1]371 Community Livestock Assets '!H44="","",'[1]371 Community Livestock Assets '!H44)</f>
        <v/>
      </c>
      <c r="J41" s="71" t="str">
        <f>IF('[1]371 Community Livestock Assets '!I44="","",'[1]371 Community Livestock Assets '!I44)</f>
        <v/>
      </c>
      <c r="K41" s="71" t="str">
        <f>IF('[1]371 Community Livestock Assets '!J44="","",'[1]371 Community Livestock Assets '!J44)</f>
        <v/>
      </c>
      <c r="L41" s="71" t="str">
        <f>IF('[1]371 Community Livestock Assets '!K44="","",'[1]371 Community Livestock Assets '!K44)</f>
        <v/>
      </c>
      <c r="M41" s="71" t="str">
        <f>IF('[1]371 Community Livestock Assets '!L44="","",'[1]371 Community Livestock Assets '!L44)</f>
        <v/>
      </c>
      <c r="N41" s="71" t="str">
        <f>IF('[1]371 Community Livestock Assets '!M44="","",'[1]371 Community Livestock Assets '!M44)</f>
        <v/>
      </c>
      <c r="O41" s="71" t="str">
        <f>IF('[1]371 Community Livestock Assets '!N44="","",'[1]371 Community Livestock Assets '!N44)</f>
        <v/>
      </c>
      <c r="P41" s="71" t="str">
        <f>IF('[1]371 Community Livestock Assets '!O44="","",'[1]371 Community Livestock Assets '!O44)</f>
        <v/>
      </c>
      <c r="Q41" s="71" t="str">
        <f>IF('[1]371 Community Livestock Assets '!P44="","",'[1]371 Community Livestock Assets '!P44)</f>
        <v/>
      </c>
      <c r="R41" s="71" t="str">
        <f>IF('[1]371 Community Livestock Assets '!Q44="","",'[1]371 Community Livestock Assets '!Q44)</f>
        <v/>
      </c>
      <c r="S41" s="71" t="str">
        <f>IF('[1]371 Community Livestock Assets '!R44="","",'[1]371 Community Livestock Assets '!R44)</f>
        <v/>
      </c>
      <c r="T41" s="71" t="str">
        <f>IF('[1]371 Community Livestock Assets '!S44="","",'[1]371 Community Livestock Assets '!S44)</f>
        <v/>
      </c>
      <c r="U41" s="71" t="str">
        <f>IF('[1]371 Community Livestock Assets '!T44="","",'[1]371 Community Livestock Assets '!T44)</f>
        <v/>
      </c>
      <c r="V41" s="71" t="str">
        <f>IF('[1]371 Community Livestock Assets '!U44="","",'[1]371 Community Livestock Assets '!U44)</f>
        <v/>
      </c>
      <c r="W41" s="71" t="str">
        <f>IF('[1]371 Community Livestock Assets '!V44="","",'[1]371 Community Livestock Assets '!V44)</f>
        <v/>
      </c>
      <c r="X41" s="71" t="str">
        <f>IF('[1]371 Community Livestock Assets '!W44="","",'[1]371 Community Livestock Assets '!W44)</f>
        <v/>
      </c>
      <c r="Y41" s="71" t="str">
        <f>IF('[1]371 Community Livestock Assets '!X44="","",'[1]371 Community Livestock Assets '!X44)</f>
        <v/>
      </c>
      <c r="Z41" s="71" t="str">
        <f>IF('[1]371 Community Livestock Assets '!Y44="","",'[1]371 Community Livestock Assets '!Y44)</f>
        <v/>
      </c>
      <c r="AA41" s="71" t="str">
        <f>IF('[1]371 Community Livestock Assets '!Z44="","",'[1]371 Community Livestock Assets '!Z44)</f>
        <v/>
      </c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</row>
    <row r="42" spans="1:53" s="39" customFormat="1" ht="17" hidden="1" customHeight="1">
      <c r="A42" s="50"/>
      <c r="B42" s="93" t="str">
        <f>IF('[1]371 Community Livestock Assets '!B44=0," ",'[1]371 Community Livestock Assets '!B44)</f>
        <v xml:space="preserve"> </v>
      </c>
      <c r="C42" s="93" t="str">
        <f>IF('[1]371 Community Livestock Assets '!C45=0," ",'[1]371 Community Livestock Assets '!C45)</f>
        <v xml:space="preserve"> </v>
      </c>
      <c r="D42" s="88" t="str">
        <f t="shared" si="3"/>
        <v xml:space="preserve"> </v>
      </c>
      <c r="E42" s="71" t="str">
        <f>IF('[1]371 Community Livestock Assets '!D45="","",'[1]371 Community Livestock Assets '!D45)</f>
        <v/>
      </c>
      <c r="F42" s="71" t="str">
        <f>IF('[1]371 Community Livestock Assets '!E45="","",'[1]371 Community Livestock Assets '!E45)</f>
        <v/>
      </c>
      <c r="G42" s="71" t="str">
        <f>IF('[1]371 Community Livestock Assets '!F45="","",'[1]371 Community Livestock Assets '!F45)</f>
        <v/>
      </c>
      <c r="H42" s="71" t="str">
        <f>IF('[1]371 Community Livestock Assets '!G45="","",'[1]371 Community Livestock Assets '!G45)</f>
        <v/>
      </c>
      <c r="I42" s="71" t="str">
        <f>IF('[1]371 Community Livestock Assets '!H45="","",'[1]371 Community Livestock Assets '!H45)</f>
        <v/>
      </c>
      <c r="J42" s="71" t="str">
        <f>IF('[1]371 Community Livestock Assets '!I45="","",'[1]371 Community Livestock Assets '!I45)</f>
        <v/>
      </c>
      <c r="K42" s="71" t="str">
        <f>IF('[1]371 Community Livestock Assets '!J45="","",'[1]371 Community Livestock Assets '!J45)</f>
        <v/>
      </c>
      <c r="L42" s="71" t="str">
        <f>IF('[1]371 Community Livestock Assets '!K45="","",'[1]371 Community Livestock Assets '!K45)</f>
        <v/>
      </c>
      <c r="M42" s="71" t="str">
        <f>IF('[1]371 Community Livestock Assets '!L45="","",'[1]371 Community Livestock Assets '!L45)</f>
        <v/>
      </c>
      <c r="N42" s="71" t="str">
        <f>IF('[1]371 Community Livestock Assets '!M45="","",'[1]371 Community Livestock Assets '!M45)</f>
        <v/>
      </c>
      <c r="O42" s="71" t="str">
        <f>IF('[1]371 Community Livestock Assets '!N45="","",'[1]371 Community Livestock Assets '!N45)</f>
        <v/>
      </c>
      <c r="P42" s="71" t="str">
        <f>IF('[1]371 Community Livestock Assets '!O45="","",'[1]371 Community Livestock Assets '!O45)</f>
        <v/>
      </c>
      <c r="Q42" s="71" t="str">
        <f>IF('[1]371 Community Livestock Assets '!P45="","",'[1]371 Community Livestock Assets '!P45)</f>
        <v/>
      </c>
      <c r="R42" s="71" t="str">
        <f>IF('[1]371 Community Livestock Assets '!Q45="","",'[1]371 Community Livestock Assets '!Q45)</f>
        <v/>
      </c>
      <c r="S42" s="71" t="str">
        <f>IF('[1]371 Community Livestock Assets '!R45="","",'[1]371 Community Livestock Assets '!R45)</f>
        <v/>
      </c>
      <c r="T42" s="71" t="str">
        <f>IF('[1]371 Community Livestock Assets '!S45="","",'[1]371 Community Livestock Assets '!S45)</f>
        <v/>
      </c>
      <c r="U42" s="71" t="str">
        <f>IF('[1]371 Community Livestock Assets '!T45="","",'[1]371 Community Livestock Assets '!T45)</f>
        <v/>
      </c>
      <c r="V42" s="71" t="str">
        <f>IF('[1]371 Community Livestock Assets '!U45="","",'[1]371 Community Livestock Assets '!U45)</f>
        <v/>
      </c>
      <c r="W42" s="71" t="str">
        <f>IF('[1]371 Community Livestock Assets '!V45="","",'[1]371 Community Livestock Assets '!V45)</f>
        <v/>
      </c>
      <c r="X42" s="71" t="str">
        <f>IF('[1]371 Community Livestock Assets '!W45="","",'[1]371 Community Livestock Assets '!W45)</f>
        <v/>
      </c>
      <c r="Y42" s="71" t="str">
        <f>IF('[1]371 Community Livestock Assets '!X45="","",'[1]371 Community Livestock Assets '!X45)</f>
        <v/>
      </c>
      <c r="Z42" s="71" t="str">
        <f>IF('[1]371 Community Livestock Assets '!Y45="","",'[1]371 Community Livestock Assets '!Y45)</f>
        <v/>
      </c>
      <c r="AA42" s="71" t="str">
        <f>IF('[1]371 Community Livestock Assets '!Z45="","",'[1]371 Community Livestock Assets '!Z45)</f>
        <v/>
      </c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</row>
    <row r="43" spans="1:53" s="39" customFormat="1" ht="17" hidden="1" customHeight="1">
      <c r="A43" s="50"/>
      <c r="B43" s="93" t="str">
        <f>IF('[1]371 Community Livestock Assets '!B45=0," ",'[1]371 Community Livestock Assets '!B45)</f>
        <v xml:space="preserve"> </v>
      </c>
      <c r="C43" s="93" t="str">
        <f>IF('[1]371 Community Livestock Assets '!C46=0," ",'[1]371 Community Livestock Assets '!C46)</f>
        <v xml:space="preserve"> </v>
      </c>
      <c r="D43" s="88" t="str">
        <f t="shared" si="3"/>
        <v xml:space="preserve"> </v>
      </c>
      <c r="E43" s="71" t="str">
        <f>IF('[1]371 Community Livestock Assets '!D46="","",'[1]371 Community Livestock Assets '!D46)</f>
        <v/>
      </c>
      <c r="F43" s="71" t="str">
        <f>IF('[1]371 Community Livestock Assets '!E46="","",'[1]371 Community Livestock Assets '!E46)</f>
        <v/>
      </c>
      <c r="G43" s="71" t="str">
        <f>IF('[1]371 Community Livestock Assets '!F46="","",'[1]371 Community Livestock Assets '!F46)</f>
        <v/>
      </c>
      <c r="H43" s="71" t="str">
        <f>IF('[1]371 Community Livestock Assets '!G46="","",'[1]371 Community Livestock Assets '!G46)</f>
        <v/>
      </c>
      <c r="I43" s="71" t="str">
        <f>IF('[1]371 Community Livestock Assets '!H46="","",'[1]371 Community Livestock Assets '!H46)</f>
        <v/>
      </c>
      <c r="J43" s="71" t="str">
        <f>IF('[1]371 Community Livestock Assets '!I46="","",'[1]371 Community Livestock Assets '!I46)</f>
        <v/>
      </c>
      <c r="K43" s="71" t="str">
        <f>IF('[1]371 Community Livestock Assets '!J46="","",'[1]371 Community Livestock Assets '!J46)</f>
        <v/>
      </c>
      <c r="L43" s="71" t="str">
        <f>IF('[1]371 Community Livestock Assets '!K46="","",'[1]371 Community Livestock Assets '!K46)</f>
        <v/>
      </c>
      <c r="M43" s="71" t="str">
        <f>IF('[1]371 Community Livestock Assets '!L46="","",'[1]371 Community Livestock Assets '!L46)</f>
        <v/>
      </c>
      <c r="N43" s="71" t="str">
        <f>IF('[1]371 Community Livestock Assets '!M46="","",'[1]371 Community Livestock Assets '!M46)</f>
        <v/>
      </c>
      <c r="O43" s="71" t="str">
        <f>IF('[1]371 Community Livestock Assets '!N46="","",'[1]371 Community Livestock Assets '!N46)</f>
        <v/>
      </c>
      <c r="P43" s="71" t="str">
        <f>IF('[1]371 Community Livestock Assets '!O46="","",'[1]371 Community Livestock Assets '!O46)</f>
        <v/>
      </c>
      <c r="Q43" s="71" t="str">
        <f>IF('[1]371 Community Livestock Assets '!P46="","",'[1]371 Community Livestock Assets '!P46)</f>
        <v/>
      </c>
      <c r="R43" s="71" t="str">
        <f>IF('[1]371 Community Livestock Assets '!Q46="","",'[1]371 Community Livestock Assets '!Q46)</f>
        <v/>
      </c>
      <c r="S43" s="71" t="str">
        <f>IF('[1]371 Community Livestock Assets '!R46="","",'[1]371 Community Livestock Assets '!R46)</f>
        <v/>
      </c>
      <c r="T43" s="71" t="str">
        <f>IF('[1]371 Community Livestock Assets '!S46="","",'[1]371 Community Livestock Assets '!S46)</f>
        <v/>
      </c>
      <c r="U43" s="71" t="str">
        <f>IF('[1]371 Community Livestock Assets '!T46="","",'[1]371 Community Livestock Assets '!T46)</f>
        <v/>
      </c>
      <c r="V43" s="71" t="str">
        <f>IF('[1]371 Community Livestock Assets '!U46="","",'[1]371 Community Livestock Assets '!U46)</f>
        <v/>
      </c>
      <c r="W43" s="71" t="str">
        <f>IF('[1]371 Community Livestock Assets '!V46="","",'[1]371 Community Livestock Assets '!V46)</f>
        <v/>
      </c>
      <c r="X43" s="71" t="str">
        <f>IF('[1]371 Community Livestock Assets '!W46="","",'[1]371 Community Livestock Assets '!W46)</f>
        <v/>
      </c>
      <c r="Y43" s="71" t="str">
        <f>IF('[1]371 Community Livestock Assets '!X46="","",'[1]371 Community Livestock Assets '!X46)</f>
        <v/>
      </c>
      <c r="Z43" s="71" t="str">
        <f>IF('[1]371 Community Livestock Assets '!Y46="","",'[1]371 Community Livestock Assets '!Y46)</f>
        <v/>
      </c>
      <c r="AA43" s="71" t="str">
        <f>IF('[1]371 Community Livestock Assets '!Z46="","",'[1]371 Community Livestock Assets '!Z46)</f>
        <v/>
      </c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</row>
    <row r="44" spans="1:53" s="39" customFormat="1" ht="17" hidden="1" customHeight="1">
      <c r="A44" s="50"/>
      <c r="B44" s="93" t="str">
        <f>IF('[1]371 Community Livestock Assets '!B46=0," ",'[1]371 Community Livestock Assets '!B46)</f>
        <v xml:space="preserve"> </v>
      </c>
      <c r="C44" s="93" t="str">
        <f>IF('[1]371 Community Livestock Assets '!C47=0," ",'[1]371 Community Livestock Assets '!C47)</f>
        <v xml:space="preserve"> </v>
      </c>
      <c r="D44" s="88" t="str">
        <f t="shared" si="3"/>
        <v xml:space="preserve"> </v>
      </c>
      <c r="E44" s="71" t="str">
        <f>IF('[1]371 Community Livestock Assets '!D47="","",'[1]371 Community Livestock Assets '!D47)</f>
        <v/>
      </c>
      <c r="F44" s="71" t="str">
        <f>IF('[1]371 Community Livestock Assets '!E47="","",'[1]371 Community Livestock Assets '!E47)</f>
        <v/>
      </c>
      <c r="G44" s="71" t="str">
        <f>IF('[1]371 Community Livestock Assets '!F47="","",'[1]371 Community Livestock Assets '!F47)</f>
        <v/>
      </c>
      <c r="H44" s="71" t="str">
        <f>IF('[1]371 Community Livestock Assets '!G47="","",'[1]371 Community Livestock Assets '!G47)</f>
        <v/>
      </c>
      <c r="I44" s="71" t="str">
        <f>IF('[1]371 Community Livestock Assets '!H47="","",'[1]371 Community Livestock Assets '!H47)</f>
        <v/>
      </c>
      <c r="J44" s="71" t="str">
        <f>IF('[1]371 Community Livestock Assets '!I47="","",'[1]371 Community Livestock Assets '!I47)</f>
        <v/>
      </c>
      <c r="K44" s="71" t="str">
        <f>IF('[1]371 Community Livestock Assets '!J47="","",'[1]371 Community Livestock Assets '!J47)</f>
        <v/>
      </c>
      <c r="L44" s="71" t="str">
        <f>IF('[1]371 Community Livestock Assets '!K47="","",'[1]371 Community Livestock Assets '!K47)</f>
        <v/>
      </c>
      <c r="M44" s="71" t="str">
        <f>IF('[1]371 Community Livestock Assets '!L47="","",'[1]371 Community Livestock Assets '!L47)</f>
        <v/>
      </c>
      <c r="N44" s="71" t="str">
        <f>IF('[1]371 Community Livestock Assets '!M47="","",'[1]371 Community Livestock Assets '!M47)</f>
        <v/>
      </c>
      <c r="O44" s="71" t="str">
        <f>IF('[1]371 Community Livestock Assets '!N47="","",'[1]371 Community Livestock Assets '!N47)</f>
        <v/>
      </c>
      <c r="P44" s="71" t="str">
        <f>IF('[1]371 Community Livestock Assets '!O47="","",'[1]371 Community Livestock Assets '!O47)</f>
        <v/>
      </c>
      <c r="Q44" s="71" t="str">
        <f>IF('[1]371 Community Livestock Assets '!P47="","",'[1]371 Community Livestock Assets '!P47)</f>
        <v/>
      </c>
      <c r="R44" s="71" t="str">
        <f>IF('[1]371 Community Livestock Assets '!Q47="","",'[1]371 Community Livestock Assets '!Q47)</f>
        <v/>
      </c>
      <c r="S44" s="71" t="str">
        <f>IF('[1]371 Community Livestock Assets '!R47="","",'[1]371 Community Livestock Assets '!R47)</f>
        <v/>
      </c>
      <c r="T44" s="71" t="str">
        <f>IF('[1]371 Community Livestock Assets '!S47="","",'[1]371 Community Livestock Assets '!S47)</f>
        <v/>
      </c>
      <c r="U44" s="71" t="str">
        <f>IF('[1]371 Community Livestock Assets '!T47="","",'[1]371 Community Livestock Assets '!T47)</f>
        <v/>
      </c>
      <c r="V44" s="71" t="str">
        <f>IF('[1]371 Community Livestock Assets '!U47="","",'[1]371 Community Livestock Assets '!U47)</f>
        <v/>
      </c>
      <c r="W44" s="71" t="str">
        <f>IF('[1]371 Community Livestock Assets '!V47="","",'[1]371 Community Livestock Assets '!V47)</f>
        <v/>
      </c>
      <c r="X44" s="71" t="str">
        <f>IF('[1]371 Community Livestock Assets '!W47="","",'[1]371 Community Livestock Assets '!W47)</f>
        <v/>
      </c>
      <c r="Y44" s="71" t="str">
        <f>IF('[1]371 Community Livestock Assets '!X47="","",'[1]371 Community Livestock Assets '!X47)</f>
        <v/>
      </c>
      <c r="Z44" s="71" t="str">
        <f>IF('[1]371 Community Livestock Assets '!Y47="","",'[1]371 Community Livestock Assets '!Y47)</f>
        <v/>
      </c>
      <c r="AA44" s="71" t="str">
        <f>IF('[1]371 Community Livestock Assets '!Z47="","",'[1]371 Community Livestock Assets '!Z47)</f>
        <v/>
      </c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</row>
    <row r="45" spans="1:53" s="39" customFormat="1" ht="17" hidden="1" customHeight="1">
      <c r="A45" s="50"/>
      <c r="B45" s="93" t="str">
        <f>IF('[1]371 Community Livestock Assets '!B47=0," ",'[1]371 Community Livestock Assets '!B47)</f>
        <v xml:space="preserve"> </v>
      </c>
      <c r="C45" s="93" t="str">
        <f>IF('[1]371 Community Livestock Assets '!C48=0," ",'[1]371 Community Livestock Assets '!C48)</f>
        <v xml:space="preserve"> </v>
      </c>
      <c r="D45" s="88" t="str">
        <f t="shared" si="3"/>
        <v xml:space="preserve"> </v>
      </c>
      <c r="E45" s="71" t="str">
        <f>IF('[1]371 Community Livestock Assets '!D48="","",'[1]371 Community Livestock Assets '!D48)</f>
        <v/>
      </c>
      <c r="F45" s="71" t="str">
        <f>IF('[1]371 Community Livestock Assets '!E48="","",'[1]371 Community Livestock Assets '!E48)</f>
        <v/>
      </c>
      <c r="G45" s="71" t="str">
        <f>IF('[1]371 Community Livestock Assets '!F48="","",'[1]371 Community Livestock Assets '!F48)</f>
        <v/>
      </c>
      <c r="H45" s="71" t="str">
        <f>IF('[1]371 Community Livestock Assets '!G48="","",'[1]371 Community Livestock Assets '!G48)</f>
        <v/>
      </c>
      <c r="I45" s="71" t="str">
        <f>IF('[1]371 Community Livestock Assets '!H48="","",'[1]371 Community Livestock Assets '!H48)</f>
        <v/>
      </c>
      <c r="J45" s="71" t="str">
        <f>IF('[1]371 Community Livestock Assets '!I48="","",'[1]371 Community Livestock Assets '!I48)</f>
        <v/>
      </c>
      <c r="K45" s="71" t="str">
        <f>IF('[1]371 Community Livestock Assets '!J48="","",'[1]371 Community Livestock Assets '!J48)</f>
        <v/>
      </c>
      <c r="L45" s="71" t="str">
        <f>IF('[1]371 Community Livestock Assets '!K48="","",'[1]371 Community Livestock Assets '!K48)</f>
        <v/>
      </c>
      <c r="M45" s="71" t="str">
        <f>IF('[1]371 Community Livestock Assets '!L48="","",'[1]371 Community Livestock Assets '!L48)</f>
        <v/>
      </c>
      <c r="N45" s="71" t="str">
        <f>IF('[1]371 Community Livestock Assets '!M48="","",'[1]371 Community Livestock Assets '!M48)</f>
        <v/>
      </c>
      <c r="O45" s="71" t="str">
        <f>IF('[1]371 Community Livestock Assets '!N48="","",'[1]371 Community Livestock Assets '!N48)</f>
        <v/>
      </c>
      <c r="P45" s="71" t="str">
        <f>IF('[1]371 Community Livestock Assets '!O48="","",'[1]371 Community Livestock Assets '!O48)</f>
        <v/>
      </c>
      <c r="Q45" s="71" t="str">
        <f>IF('[1]371 Community Livestock Assets '!P48="","",'[1]371 Community Livestock Assets '!P48)</f>
        <v/>
      </c>
      <c r="R45" s="71" t="str">
        <f>IF('[1]371 Community Livestock Assets '!Q48="","",'[1]371 Community Livestock Assets '!Q48)</f>
        <v/>
      </c>
      <c r="S45" s="71" t="str">
        <f>IF('[1]371 Community Livestock Assets '!R48="","",'[1]371 Community Livestock Assets '!R48)</f>
        <v/>
      </c>
      <c r="T45" s="71" t="str">
        <f>IF('[1]371 Community Livestock Assets '!S48="","",'[1]371 Community Livestock Assets '!S48)</f>
        <v/>
      </c>
      <c r="U45" s="71" t="str">
        <f>IF('[1]371 Community Livestock Assets '!T48="","",'[1]371 Community Livestock Assets '!T48)</f>
        <v/>
      </c>
      <c r="V45" s="71" t="str">
        <f>IF('[1]371 Community Livestock Assets '!U48="","",'[1]371 Community Livestock Assets '!U48)</f>
        <v/>
      </c>
      <c r="W45" s="71" t="str">
        <f>IF('[1]371 Community Livestock Assets '!V48="","",'[1]371 Community Livestock Assets '!V48)</f>
        <v/>
      </c>
      <c r="X45" s="71" t="str">
        <f>IF('[1]371 Community Livestock Assets '!W48="","",'[1]371 Community Livestock Assets '!W48)</f>
        <v/>
      </c>
      <c r="Y45" s="71" t="str">
        <f>IF('[1]371 Community Livestock Assets '!X48="","",'[1]371 Community Livestock Assets '!X48)</f>
        <v/>
      </c>
      <c r="Z45" s="71" t="str">
        <f>IF('[1]371 Community Livestock Assets '!Y48="","",'[1]371 Community Livestock Assets '!Y48)</f>
        <v/>
      </c>
      <c r="AA45" s="71" t="str">
        <f>IF('[1]371 Community Livestock Assets '!Z48="","",'[1]371 Community Livestock Assets '!Z48)</f>
        <v/>
      </c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</row>
    <row r="46" spans="1:53" s="39" customFormat="1" ht="17" hidden="1" customHeight="1">
      <c r="A46" s="50"/>
      <c r="B46" s="93" t="str">
        <f>IF('[1]371 Community Livestock Assets '!B48=0," ",'[1]371 Community Livestock Assets '!B48)</f>
        <v xml:space="preserve"> </v>
      </c>
      <c r="C46" s="93" t="str">
        <f>IF('[1]371 Community Livestock Assets '!C49=0," ",'[1]371 Community Livestock Assets '!C49)</f>
        <v xml:space="preserve"> </v>
      </c>
      <c r="D46" s="88" t="str">
        <f t="shared" si="3"/>
        <v xml:space="preserve"> </v>
      </c>
      <c r="E46" s="71" t="str">
        <f>IF('[1]371 Community Livestock Assets '!D49="","",'[1]371 Community Livestock Assets '!D49)</f>
        <v/>
      </c>
      <c r="F46" s="71" t="str">
        <f>IF('[1]371 Community Livestock Assets '!E49="","",'[1]371 Community Livestock Assets '!E49)</f>
        <v/>
      </c>
      <c r="G46" s="71" t="str">
        <f>IF('[1]371 Community Livestock Assets '!F49="","",'[1]371 Community Livestock Assets '!F49)</f>
        <v/>
      </c>
      <c r="H46" s="71" t="str">
        <f>IF('[1]371 Community Livestock Assets '!G49="","",'[1]371 Community Livestock Assets '!G49)</f>
        <v/>
      </c>
      <c r="I46" s="71" t="str">
        <f>IF('[1]371 Community Livestock Assets '!H49="","",'[1]371 Community Livestock Assets '!H49)</f>
        <v/>
      </c>
      <c r="J46" s="71" t="str">
        <f>IF('[1]371 Community Livestock Assets '!I49="","",'[1]371 Community Livestock Assets '!I49)</f>
        <v/>
      </c>
      <c r="K46" s="71" t="str">
        <f>IF('[1]371 Community Livestock Assets '!J49="","",'[1]371 Community Livestock Assets '!J49)</f>
        <v/>
      </c>
      <c r="L46" s="71" t="str">
        <f>IF('[1]371 Community Livestock Assets '!K49="","",'[1]371 Community Livestock Assets '!K49)</f>
        <v/>
      </c>
      <c r="M46" s="71" t="str">
        <f>IF('[1]371 Community Livestock Assets '!L49="","",'[1]371 Community Livestock Assets '!L49)</f>
        <v/>
      </c>
      <c r="N46" s="71" t="str">
        <f>IF('[1]371 Community Livestock Assets '!M49="","",'[1]371 Community Livestock Assets '!M49)</f>
        <v/>
      </c>
      <c r="O46" s="71" t="str">
        <f>IF('[1]371 Community Livestock Assets '!N49="","",'[1]371 Community Livestock Assets '!N49)</f>
        <v/>
      </c>
      <c r="P46" s="71" t="str">
        <f>IF('[1]371 Community Livestock Assets '!O49="","",'[1]371 Community Livestock Assets '!O49)</f>
        <v/>
      </c>
      <c r="Q46" s="71" t="str">
        <f>IF('[1]371 Community Livestock Assets '!P49="","",'[1]371 Community Livestock Assets '!P49)</f>
        <v/>
      </c>
      <c r="R46" s="71" t="str">
        <f>IF('[1]371 Community Livestock Assets '!Q49="","",'[1]371 Community Livestock Assets '!Q49)</f>
        <v/>
      </c>
      <c r="S46" s="71" t="str">
        <f>IF('[1]371 Community Livestock Assets '!R49="","",'[1]371 Community Livestock Assets '!R49)</f>
        <v/>
      </c>
      <c r="T46" s="71" t="str">
        <f>IF('[1]371 Community Livestock Assets '!S49="","",'[1]371 Community Livestock Assets '!S49)</f>
        <v/>
      </c>
      <c r="U46" s="71" t="str">
        <f>IF('[1]371 Community Livestock Assets '!T49="","",'[1]371 Community Livestock Assets '!T49)</f>
        <v/>
      </c>
      <c r="V46" s="71" t="str">
        <f>IF('[1]371 Community Livestock Assets '!U49="","",'[1]371 Community Livestock Assets '!U49)</f>
        <v/>
      </c>
      <c r="W46" s="71" t="str">
        <f>IF('[1]371 Community Livestock Assets '!V49="","",'[1]371 Community Livestock Assets '!V49)</f>
        <v/>
      </c>
      <c r="X46" s="71" t="str">
        <f>IF('[1]371 Community Livestock Assets '!W49="","",'[1]371 Community Livestock Assets '!W49)</f>
        <v/>
      </c>
      <c r="Y46" s="71" t="str">
        <f>IF('[1]371 Community Livestock Assets '!X49="","",'[1]371 Community Livestock Assets '!X49)</f>
        <v/>
      </c>
      <c r="Z46" s="71" t="str">
        <f>IF('[1]371 Community Livestock Assets '!Y49="","",'[1]371 Community Livestock Assets '!Y49)</f>
        <v/>
      </c>
      <c r="AA46" s="71" t="str">
        <f>IF('[1]371 Community Livestock Assets '!Z49="","",'[1]371 Community Livestock Assets '!Z49)</f>
        <v/>
      </c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</row>
    <row r="47" spans="1:53" s="39" customFormat="1" ht="17" hidden="1" customHeight="1">
      <c r="A47" s="50"/>
      <c r="B47" s="93" t="str">
        <f>IF('[1]371 Community Livestock Assets '!B49=0," ",'[1]371 Community Livestock Assets '!B49)</f>
        <v xml:space="preserve"> </v>
      </c>
      <c r="C47" s="93" t="str">
        <f>IF('[1]371 Community Livestock Assets '!C50=0," ",'[1]371 Community Livestock Assets '!C50)</f>
        <v xml:space="preserve"> </v>
      </c>
      <c r="D47" s="88" t="str">
        <f t="shared" si="3"/>
        <v xml:space="preserve"> </v>
      </c>
      <c r="E47" s="71" t="str">
        <f>IF('[1]371 Community Livestock Assets '!D50="","",'[1]371 Community Livestock Assets '!D50)</f>
        <v/>
      </c>
      <c r="F47" s="71" t="str">
        <f>IF('[1]371 Community Livestock Assets '!E50="","",'[1]371 Community Livestock Assets '!E50)</f>
        <v/>
      </c>
      <c r="G47" s="71" t="str">
        <f>IF('[1]371 Community Livestock Assets '!F50="","",'[1]371 Community Livestock Assets '!F50)</f>
        <v/>
      </c>
      <c r="H47" s="71" t="str">
        <f>IF('[1]371 Community Livestock Assets '!G50="","",'[1]371 Community Livestock Assets '!G50)</f>
        <v/>
      </c>
      <c r="I47" s="71" t="str">
        <f>IF('[1]371 Community Livestock Assets '!H50="","",'[1]371 Community Livestock Assets '!H50)</f>
        <v/>
      </c>
      <c r="J47" s="71" t="str">
        <f>IF('[1]371 Community Livestock Assets '!I50="","",'[1]371 Community Livestock Assets '!I50)</f>
        <v/>
      </c>
      <c r="K47" s="71" t="str">
        <f>IF('[1]371 Community Livestock Assets '!J50="","",'[1]371 Community Livestock Assets '!J50)</f>
        <v/>
      </c>
      <c r="L47" s="71" t="str">
        <f>IF('[1]371 Community Livestock Assets '!K50="","",'[1]371 Community Livestock Assets '!K50)</f>
        <v/>
      </c>
      <c r="M47" s="71" t="str">
        <f>IF('[1]371 Community Livestock Assets '!L50="","",'[1]371 Community Livestock Assets '!L50)</f>
        <v/>
      </c>
      <c r="N47" s="71" t="str">
        <f>IF('[1]371 Community Livestock Assets '!M50="","",'[1]371 Community Livestock Assets '!M50)</f>
        <v/>
      </c>
      <c r="O47" s="71" t="str">
        <f>IF('[1]371 Community Livestock Assets '!N50="","",'[1]371 Community Livestock Assets '!N50)</f>
        <v/>
      </c>
      <c r="P47" s="71" t="str">
        <f>IF('[1]371 Community Livestock Assets '!O50="","",'[1]371 Community Livestock Assets '!O50)</f>
        <v/>
      </c>
      <c r="Q47" s="71" t="str">
        <f>IF('[1]371 Community Livestock Assets '!P50="","",'[1]371 Community Livestock Assets '!P50)</f>
        <v/>
      </c>
      <c r="R47" s="71" t="str">
        <f>IF('[1]371 Community Livestock Assets '!Q50="","",'[1]371 Community Livestock Assets '!Q50)</f>
        <v/>
      </c>
      <c r="S47" s="71" t="str">
        <f>IF('[1]371 Community Livestock Assets '!R50="","",'[1]371 Community Livestock Assets '!R50)</f>
        <v/>
      </c>
      <c r="T47" s="71" t="str">
        <f>IF('[1]371 Community Livestock Assets '!S50="","",'[1]371 Community Livestock Assets '!S50)</f>
        <v/>
      </c>
      <c r="U47" s="71" t="str">
        <f>IF('[1]371 Community Livestock Assets '!T50="","",'[1]371 Community Livestock Assets '!T50)</f>
        <v/>
      </c>
      <c r="V47" s="71" t="str">
        <f>IF('[1]371 Community Livestock Assets '!U50="","",'[1]371 Community Livestock Assets '!U50)</f>
        <v/>
      </c>
      <c r="W47" s="71" t="str">
        <f>IF('[1]371 Community Livestock Assets '!V50="","",'[1]371 Community Livestock Assets '!V50)</f>
        <v/>
      </c>
      <c r="X47" s="71" t="str">
        <f>IF('[1]371 Community Livestock Assets '!W50="","",'[1]371 Community Livestock Assets '!W50)</f>
        <v/>
      </c>
      <c r="Y47" s="71" t="str">
        <f>IF('[1]371 Community Livestock Assets '!X50="","",'[1]371 Community Livestock Assets '!X50)</f>
        <v/>
      </c>
      <c r="Z47" s="71" t="str">
        <f>IF('[1]371 Community Livestock Assets '!Y50="","",'[1]371 Community Livestock Assets '!Y50)</f>
        <v/>
      </c>
      <c r="AA47" s="71" t="str">
        <f>IF('[1]371 Community Livestock Assets '!Z50="","",'[1]371 Community Livestock Assets '!Z50)</f>
        <v/>
      </c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</row>
    <row r="48" spans="1:53" s="39" customFormat="1" ht="17" hidden="1" customHeight="1">
      <c r="A48" s="50"/>
      <c r="B48" s="93" t="str">
        <f>IF('[1]371 Community Livestock Assets '!B50=0," ",'[1]371 Community Livestock Assets '!B50)</f>
        <v xml:space="preserve"> </v>
      </c>
      <c r="C48" s="93" t="str">
        <f>IF('[1]371 Community Livestock Assets '!C51=0," ",'[1]371 Community Livestock Assets '!C51)</f>
        <v xml:space="preserve"> </v>
      </c>
      <c r="D48" s="88" t="str">
        <f t="shared" si="3"/>
        <v xml:space="preserve"> </v>
      </c>
      <c r="E48" s="71" t="str">
        <f>IF('[1]371 Community Livestock Assets '!D51="","",'[1]371 Community Livestock Assets '!D51)</f>
        <v/>
      </c>
      <c r="F48" s="71" t="str">
        <f>IF('[1]371 Community Livestock Assets '!E51="","",'[1]371 Community Livestock Assets '!E51)</f>
        <v/>
      </c>
      <c r="G48" s="71" t="str">
        <f>IF('[1]371 Community Livestock Assets '!F51="","",'[1]371 Community Livestock Assets '!F51)</f>
        <v/>
      </c>
      <c r="H48" s="71" t="str">
        <f>IF('[1]371 Community Livestock Assets '!G51="","",'[1]371 Community Livestock Assets '!G51)</f>
        <v/>
      </c>
      <c r="I48" s="71" t="str">
        <f>IF('[1]371 Community Livestock Assets '!H51="","",'[1]371 Community Livestock Assets '!H51)</f>
        <v/>
      </c>
      <c r="J48" s="71" t="str">
        <f>IF('[1]371 Community Livestock Assets '!I51="","",'[1]371 Community Livestock Assets '!I51)</f>
        <v/>
      </c>
      <c r="K48" s="71" t="str">
        <f>IF('[1]371 Community Livestock Assets '!J51="","",'[1]371 Community Livestock Assets '!J51)</f>
        <v/>
      </c>
      <c r="L48" s="71" t="str">
        <f>IF('[1]371 Community Livestock Assets '!K51="","",'[1]371 Community Livestock Assets '!K51)</f>
        <v/>
      </c>
      <c r="M48" s="71" t="str">
        <f>IF('[1]371 Community Livestock Assets '!L51="","",'[1]371 Community Livestock Assets '!L51)</f>
        <v/>
      </c>
      <c r="N48" s="71" t="str">
        <f>IF('[1]371 Community Livestock Assets '!M51="","",'[1]371 Community Livestock Assets '!M51)</f>
        <v/>
      </c>
      <c r="O48" s="71" t="str">
        <f>IF('[1]371 Community Livestock Assets '!N51="","",'[1]371 Community Livestock Assets '!N51)</f>
        <v/>
      </c>
      <c r="P48" s="71" t="str">
        <f>IF('[1]371 Community Livestock Assets '!O51="","",'[1]371 Community Livestock Assets '!O51)</f>
        <v/>
      </c>
      <c r="Q48" s="71" t="str">
        <f>IF('[1]371 Community Livestock Assets '!P51="","",'[1]371 Community Livestock Assets '!P51)</f>
        <v/>
      </c>
      <c r="R48" s="71" t="str">
        <f>IF('[1]371 Community Livestock Assets '!Q51="","",'[1]371 Community Livestock Assets '!Q51)</f>
        <v/>
      </c>
      <c r="S48" s="71" t="str">
        <f>IF('[1]371 Community Livestock Assets '!R51="","",'[1]371 Community Livestock Assets '!R51)</f>
        <v/>
      </c>
      <c r="T48" s="71" t="str">
        <f>IF('[1]371 Community Livestock Assets '!S51="","",'[1]371 Community Livestock Assets '!S51)</f>
        <v/>
      </c>
      <c r="U48" s="71" t="str">
        <f>IF('[1]371 Community Livestock Assets '!T51="","",'[1]371 Community Livestock Assets '!T51)</f>
        <v/>
      </c>
      <c r="V48" s="71" t="str">
        <f>IF('[1]371 Community Livestock Assets '!U51="","",'[1]371 Community Livestock Assets '!U51)</f>
        <v/>
      </c>
      <c r="W48" s="71" t="str">
        <f>IF('[1]371 Community Livestock Assets '!V51="","",'[1]371 Community Livestock Assets '!V51)</f>
        <v/>
      </c>
      <c r="X48" s="71" t="str">
        <f>IF('[1]371 Community Livestock Assets '!W51="","",'[1]371 Community Livestock Assets '!W51)</f>
        <v/>
      </c>
      <c r="Y48" s="71" t="str">
        <f>IF('[1]371 Community Livestock Assets '!X51="","",'[1]371 Community Livestock Assets '!X51)</f>
        <v/>
      </c>
      <c r="Z48" s="71" t="str">
        <f>IF('[1]371 Community Livestock Assets '!Y51="","",'[1]371 Community Livestock Assets '!Y51)</f>
        <v/>
      </c>
      <c r="AA48" s="71" t="str">
        <f>IF('[1]371 Community Livestock Assets '!Z51="","",'[1]371 Community Livestock Assets '!Z51)</f>
        <v/>
      </c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</row>
    <row r="49" spans="1:53" s="39" customFormat="1" ht="17" hidden="1" customHeight="1">
      <c r="A49" s="50"/>
      <c r="B49" s="93" t="str">
        <f>IF('[1]371 Community Livestock Assets '!B51=0," ",'[1]371 Community Livestock Assets '!B51)</f>
        <v xml:space="preserve"> </v>
      </c>
      <c r="C49" s="93" t="str">
        <f>IF('[1]371 Community Livestock Assets '!C52=0," ",'[1]371 Community Livestock Assets '!C52)</f>
        <v xml:space="preserve"> </v>
      </c>
      <c r="D49" s="88" t="str">
        <f t="shared" si="3"/>
        <v xml:space="preserve"> </v>
      </c>
      <c r="E49" s="71" t="str">
        <f>IF('[1]371 Community Livestock Assets '!D52="","",'[1]371 Community Livestock Assets '!D52)</f>
        <v/>
      </c>
      <c r="F49" s="71" t="str">
        <f>IF('[1]371 Community Livestock Assets '!E52="","",'[1]371 Community Livestock Assets '!E52)</f>
        <v/>
      </c>
      <c r="G49" s="71" t="str">
        <f>IF('[1]371 Community Livestock Assets '!F52="","",'[1]371 Community Livestock Assets '!F52)</f>
        <v/>
      </c>
      <c r="H49" s="71" t="str">
        <f>IF('[1]371 Community Livestock Assets '!G52="","",'[1]371 Community Livestock Assets '!G52)</f>
        <v/>
      </c>
      <c r="I49" s="71" t="str">
        <f>IF('[1]371 Community Livestock Assets '!H52="","",'[1]371 Community Livestock Assets '!H52)</f>
        <v/>
      </c>
      <c r="J49" s="71" t="str">
        <f>IF('[1]371 Community Livestock Assets '!I52="","",'[1]371 Community Livestock Assets '!I52)</f>
        <v/>
      </c>
      <c r="K49" s="71" t="str">
        <f>IF('[1]371 Community Livestock Assets '!J52="","",'[1]371 Community Livestock Assets '!J52)</f>
        <v/>
      </c>
      <c r="L49" s="71" t="str">
        <f>IF('[1]371 Community Livestock Assets '!K52="","",'[1]371 Community Livestock Assets '!K52)</f>
        <v/>
      </c>
      <c r="M49" s="71" t="str">
        <f>IF('[1]371 Community Livestock Assets '!L52="","",'[1]371 Community Livestock Assets '!L52)</f>
        <v/>
      </c>
      <c r="N49" s="71" t="str">
        <f>IF('[1]371 Community Livestock Assets '!M52="","",'[1]371 Community Livestock Assets '!M52)</f>
        <v/>
      </c>
      <c r="O49" s="71" t="str">
        <f>IF('[1]371 Community Livestock Assets '!N52="","",'[1]371 Community Livestock Assets '!N52)</f>
        <v/>
      </c>
      <c r="P49" s="71" t="str">
        <f>IF('[1]371 Community Livestock Assets '!O52="","",'[1]371 Community Livestock Assets '!O52)</f>
        <v/>
      </c>
      <c r="Q49" s="71" t="str">
        <f>IF('[1]371 Community Livestock Assets '!P52="","",'[1]371 Community Livestock Assets '!P52)</f>
        <v/>
      </c>
      <c r="R49" s="71" t="str">
        <f>IF('[1]371 Community Livestock Assets '!Q52="","",'[1]371 Community Livestock Assets '!Q52)</f>
        <v/>
      </c>
      <c r="S49" s="71" t="str">
        <f>IF('[1]371 Community Livestock Assets '!R52="","",'[1]371 Community Livestock Assets '!R52)</f>
        <v/>
      </c>
      <c r="T49" s="71" t="str">
        <f>IF('[1]371 Community Livestock Assets '!S52="","",'[1]371 Community Livestock Assets '!S52)</f>
        <v/>
      </c>
      <c r="U49" s="71" t="str">
        <f>IF('[1]371 Community Livestock Assets '!T52="","",'[1]371 Community Livestock Assets '!T52)</f>
        <v/>
      </c>
      <c r="V49" s="71" t="str">
        <f>IF('[1]371 Community Livestock Assets '!U52="","",'[1]371 Community Livestock Assets '!U52)</f>
        <v/>
      </c>
      <c r="W49" s="71" t="str">
        <f>IF('[1]371 Community Livestock Assets '!V52="","",'[1]371 Community Livestock Assets '!V52)</f>
        <v/>
      </c>
      <c r="X49" s="71" t="str">
        <f>IF('[1]371 Community Livestock Assets '!W52="","",'[1]371 Community Livestock Assets '!W52)</f>
        <v/>
      </c>
      <c r="Y49" s="71" t="str">
        <f>IF('[1]371 Community Livestock Assets '!X52="","",'[1]371 Community Livestock Assets '!X52)</f>
        <v/>
      </c>
      <c r="Z49" s="71" t="str">
        <f>IF('[1]371 Community Livestock Assets '!Y52="","",'[1]371 Community Livestock Assets '!Y52)</f>
        <v/>
      </c>
      <c r="AA49" s="71" t="str">
        <f>IF('[1]371 Community Livestock Assets '!Z52="","",'[1]371 Community Livestock Assets '!Z52)</f>
        <v/>
      </c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</row>
    <row r="50" spans="1:53" s="39" customFormat="1" ht="17" hidden="1" customHeight="1">
      <c r="A50" s="50"/>
      <c r="B50" s="93" t="str">
        <f>IF('[1]371 Community Livestock Assets '!B52=0," ",'[1]371 Community Livestock Assets '!B52)</f>
        <v xml:space="preserve"> </v>
      </c>
      <c r="C50" s="93" t="str">
        <f>IF('[1]371 Community Livestock Assets '!C53=0," ",'[1]371 Community Livestock Assets '!C53)</f>
        <v xml:space="preserve"> </v>
      </c>
      <c r="D50" s="88" t="str">
        <f t="shared" si="3"/>
        <v xml:space="preserve"> </v>
      </c>
      <c r="E50" s="71" t="str">
        <f>IF('[1]371 Community Livestock Assets '!D53="","",'[1]371 Community Livestock Assets '!D53)</f>
        <v/>
      </c>
      <c r="F50" s="71" t="str">
        <f>IF('[1]371 Community Livestock Assets '!E53="","",'[1]371 Community Livestock Assets '!E53)</f>
        <v/>
      </c>
      <c r="G50" s="71" t="str">
        <f>IF('[1]371 Community Livestock Assets '!F53="","",'[1]371 Community Livestock Assets '!F53)</f>
        <v/>
      </c>
      <c r="H50" s="71" t="str">
        <f>IF('[1]371 Community Livestock Assets '!G53="","",'[1]371 Community Livestock Assets '!G53)</f>
        <v/>
      </c>
      <c r="I50" s="71" t="str">
        <f>IF('[1]371 Community Livestock Assets '!H53="","",'[1]371 Community Livestock Assets '!H53)</f>
        <v/>
      </c>
      <c r="J50" s="71" t="str">
        <f>IF('[1]371 Community Livestock Assets '!I53="","",'[1]371 Community Livestock Assets '!I53)</f>
        <v/>
      </c>
      <c r="K50" s="71" t="str">
        <f>IF('[1]371 Community Livestock Assets '!J53="","",'[1]371 Community Livestock Assets '!J53)</f>
        <v/>
      </c>
      <c r="L50" s="71" t="str">
        <f>IF('[1]371 Community Livestock Assets '!K53="","",'[1]371 Community Livestock Assets '!K53)</f>
        <v/>
      </c>
      <c r="M50" s="71" t="str">
        <f>IF('[1]371 Community Livestock Assets '!L53="","",'[1]371 Community Livestock Assets '!L53)</f>
        <v/>
      </c>
      <c r="N50" s="71" t="str">
        <f>IF('[1]371 Community Livestock Assets '!M53="","",'[1]371 Community Livestock Assets '!M53)</f>
        <v/>
      </c>
      <c r="O50" s="71" t="str">
        <f>IF('[1]371 Community Livestock Assets '!N53="","",'[1]371 Community Livestock Assets '!N53)</f>
        <v/>
      </c>
      <c r="P50" s="71" t="str">
        <f>IF('[1]371 Community Livestock Assets '!O53="","",'[1]371 Community Livestock Assets '!O53)</f>
        <v/>
      </c>
      <c r="Q50" s="71" t="str">
        <f>IF('[1]371 Community Livestock Assets '!P53="","",'[1]371 Community Livestock Assets '!P53)</f>
        <v/>
      </c>
      <c r="R50" s="71" t="str">
        <f>IF('[1]371 Community Livestock Assets '!Q53="","",'[1]371 Community Livestock Assets '!Q53)</f>
        <v/>
      </c>
      <c r="S50" s="71" t="str">
        <f>IF('[1]371 Community Livestock Assets '!R53="","",'[1]371 Community Livestock Assets '!R53)</f>
        <v/>
      </c>
      <c r="T50" s="71" t="str">
        <f>IF('[1]371 Community Livestock Assets '!S53="","",'[1]371 Community Livestock Assets '!S53)</f>
        <v/>
      </c>
      <c r="U50" s="71" t="str">
        <f>IF('[1]371 Community Livestock Assets '!T53="","",'[1]371 Community Livestock Assets '!T53)</f>
        <v/>
      </c>
      <c r="V50" s="71" t="str">
        <f>IF('[1]371 Community Livestock Assets '!U53="","",'[1]371 Community Livestock Assets '!U53)</f>
        <v/>
      </c>
      <c r="W50" s="71" t="str">
        <f>IF('[1]371 Community Livestock Assets '!V53="","",'[1]371 Community Livestock Assets '!V53)</f>
        <v/>
      </c>
      <c r="X50" s="71" t="str">
        <f>IF('[1]371 Community Livestock Assets '!W53="","",'[1]371 Community Livestock Assets '!W53)</f>
        <v/>
      </c>
      <c r="Y50" s="71" t="str">
        <f>IF('[1]371 Community Livestock Assets '!X53="","",'[1]371 Community Livestock Assets '!X53)</f>
        <v/>
      </c>
      <c r="Z50" s="71" t="str">
        <f>IF('[1]371 Community Livestock Assets '!Y53="","",'[1]371 Community Livestock Assets '!Y53)</f>
        <v/>
      </c>
      <c r="AA50" s="71" t="str">
        <f>IF('[1]371 Community Livestock Assets '!Z53="","",'[1]371 Community Livestock Assets '!Z53)</f>
        <v/>
      </c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</row>
    <row r="51" spans="1:53" s="39" customFormat="1" ht="17" hidden="1" customHeight="1">
      <c r="A51" s="50"/>
      <c r="B51" s="93" t="str">
        <f>IF('[1]371 Community Livestock Assets '!B53=0," ",'[1]371 Community Livestock Assets '!B53)</f>
        <v xml:space="preserve"> </v>
      </c>
      <c r="C51" s="93" t="str">
        <f>IF('[1]371 Community Livestock Assets '!C54=0," ",'[1]371 Community Livestock Assets '!C54)</f>
        <v xml:space="preserve"> </v>
      </c>
      <c r="D51" s="88" t="str">
        <f t="shared" si="3"/>
        <v xml:space="preserve"> </v>
      </c>
      <c r="E51" s="71" t="str">
        <f>IF('[1]371 Community Livestock Assets '!D54="","",'[1]371 Community Livestock Assets '!D54)</f>
        <v/>
      </c>
      <c r="F51" s="71" t="str">
        <f>IF('[1]371 Community Livestock Assets '!E54="","",'[1]371 Community Livestock Assets '!E54)</f>
        <v/>
      </c>
      <c r="G51" s="71" t="str">
        <f>IF('[1]371 Community Livestock Assets '!F54="","",'[1]371 Community Livestock Assets '!F54)</f>
        <v/>
      </c>
      <c r="H51" s="71" t="str">
        <f>IF('[1]371 Community Livestock Assets '!G54="","",'[1]371 Community Livestock Assets '!G54)</f>
        <v/>
      </c>
      <c r="I51" s="71" t="str">
        <f>IF('[1]371 Community Livestock Assets '!H54="","",'[1]371 Community Livestock Assets '!H54)</f>
        <v/>
      </c>
      <c r="J51" s="71" t="str">
        <f>IF('[1]371 Community Livestock Assets '!I54="","",'[1]371 Community Livestock Assets '!I54)</f>
        <v/>
      </c>
      <c r="K51" s="71" t="str">
        <f>IF('[1]371 Community Livestock Assets '!J54="","",'[1]371 Community Livestock Assets '!J54)</f>
        <v/>
      </c>
      <c r="L51" s="71" t="str">
        <f>IF('[1]371 Community Livestock Assets '!K54="","",'[1]371 Community Livestock Assets '!K54)</f>
        <v/>
      </c>
      <c r="M51" s="71" t="str">
        <f>IF('[1]371 Community Livestock Assets '!L54="","",'[1]371 Community Livestock Assets '!L54)</f>
        <v/>
      </c>
      <c r="N51" s="71" t="str">
        <f>IF('[1]371 Community Livestock Assets '!M54="","",'[1]371 Community Livestock Assets '!M54)</f>
        <v/>
      </c>
      <c r="O51" s="71" t="str">
        <f>IF('[1]371 Community Livestock Assets '!N54="","",'[1]371 Community Livestock Assets '!N54)</f>
        <v/>
      </c>
      <c r="P51" s="71" t="str">
        <f>IF('[1]371 Community Livestock Assets '!O54="","",'[1]371 Community Livestock Assets '!O54)</f>
        <v/>
      </c>
      <c r="Q51" s="71" t="str">
        <f>IF('[1]371 Community Livestock Assets '!P54="","",'[1]371 Community Livestock Assets '!P54)</f>
        <v/>
      </c>
      <c r="R51" s="71" t="str">
        <f>IF('[1]371 Community Livestock Assets '!Q54="","",'[1]371 Community Livestock Assets '!Q54)</f>
        <v/>
      </c>
      <c r="S51" s="71" t="str">
        <f>IF('[1]371 Community Livestock Assets '!R54="","",'[1]371 Community Livestock Assets '!R54)</f>
        <v/>
      </c>
      <c r="T51" s="71" t="str">
        <f>IF('[1]371 Community Livestock Assets '!S54="","",'[1]371 Community Livestock Assets '!S54)</f>
        <v/>
      </c>
      <c r="U51" s="71" t="str">
        <f>IF('[1]371 Community Livestock Assets '!T54="","",'[1]371 Community Livestock Assets '!T54)</f>
        <v/>
      </c>
      <c r="V51" s="71" t="str">
        <f>IF('[1]371 Community Livestock Assets '!U54="","",'[1]371 Community Livestock Assets '!U54)</f>
        <v/>
      </c>
      <c r="W51" s="71" t="str">
        <f>IF('[1]371 Community Livestock Assets '!V54="","",'[1]371 Community Livestock Assets '!V54)</f>
        <v/>
      </c>
      <c r="X51" s="71" t="str">
        <f>IF('[1]371 Community Livestock Assets '!W54="","",'[1]371 Community Livestock Assets '!W54)</f>
        <v/>
      </c>
      <c r="Y51" s="71" t="str">
        <f>IF('[1]371 Community Livestock Assets '!X54="","",'[1]371 Community Livestock Assets '!X54)</f>
        <v/>
      </c>
      <c r="Z51" s="71" t="str">
        <f>IF('[1]371 Community Livestock Assets '!Y54="","",'[1]371 Community Livestock Assets '!Y54)</f>
        <v/>
      </c>
      <c r="AA51" s="71" t="str">
        <f>IF('[1]371 Community Livestock Assets '!Z54="","",'[1]371 Community Livestock Assets '!Z54)</f>
        <v/>
      </c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</row>
    <row r="52" spans="1:53" s="39" customFormat="1" ht="17" hidden="1" customHeight="1">
      <c r="A52" s="50"/>
      <c r="B52" s="93" t="str">
        <f>IF('[1]371 Community Livestock Assets '!B54=0," ",'[1]371 Community Livestock Assets '!B54)</f>
        <v xml:space="preserve"> </v>
      </c>
      <c r="C52" s="93" t="str">
        <f>IF('[1]371 Community Livestock Assets '!C55=0," ",'[1]371 Community Livestock Assets '!C55)</f>
        <v xml:space="preserve"> </v>
      </c>
      <c r="D52" s="88" t="str">
        <f t="shared" si="3"/>
        <v xml:space="preserve"> </v>
      </c>
      <c r="E52" s="71" t="str">
        <f>IF('[1]371 Community Livestock Assets '!D55="","",'[1]371 Community Livestock Assets '!D55)</f>
        <v/>
      </c>
      <c r="F52" s="71" t="str">
        <f>IF('[1]371 Community Livestock Assets '!E55="","",'[1]371 Community Livestock Assets '!E55)</f>
        <v/>
      </c>
      <c r="G52" s="71" t="str">
        <f>IF('[1]371 Community Livestock Assets '!F55="","",'[1]371 Community Livestock Assets '!F55)</f>
        <v/>
      </c>
      <c r="H52" s="71" t="str">
        <f>IF('[1]371 Community Livestock Assets '!G55="","",'[1]371 Community Livestock Assets '!G55)</f>
        <v/>
      </c>
      <c r="I52" s="71" t="str">
        <f>IF('[1]371 Community Livestock Assets '!H55="","",'[1]371 Community Livestock Assets '!H55)</f>
        <v/>
      </c>
      <c r="J52" s="71" t="str">
        <f>IF('[1]371 Community Livestock Assets '!I55="","",'[1]371 Community Livestock Assets '!I55)</f>
        <v/>
      </c>
      <c r="K52" s="71" t="str">
        <f>IF('[1]371 Community Livestock Assets '!J55="","",'[1]371 Community Livestock Assets '!J55)</f>
        <v/>
      </c>
      <c r="L52" s="71" t="str">
        <f>IF('[1]371 Community Livestock Assets '!K55="","",'[1]371 Community Livestock Assets '!K55)</f>
        <v/>
      </c>
      <c r="M52" s="71" t="str">
        <f>IF('[1]371 Community Livestock Assets '!L55="","",'[1]371 Community Livestock Assets '!L55)</f>
        <v/>
      </c>
      <c r="N52" s="71" t="str">
        <f>IF('[1]371 Community Livestock Assets '!M55="","",'[1]371 Community Livestock Assets '!M55)</f>
        <v/>
      </c>
      <c r="O52" s="71" t="str">
        <f>IF('[1]371 Community Livestock Assets '!N55="","",'[1]371 Community Livestock Assets '!N55)</f>
        <v/>
      </c>
      <c r="P52" s="71" t="str">
        <f>IF('[1]371 Community Livestock Assets '!O55="","",'[1]371 Community Livestock Assets '!O55)</f>
        <v/>
      </c>
      <c r="Q52" s="71" t="str">
        <f>IF('[1]371 Community Livestock Assets '!P55="","",'[1]371 Community Livestock Assets '!P55)</f>
        <v/>
      </c>
      <c r="R52" s="71" t="str">
        <f>IF('[1]371 Community Livestock Assets '!Q55="","",'[1]371 Community Livestock Assets '!Q55)</f>
        <v/>
      </c>
      <c r="S52" s="71" t="str">
        <f>IF('[1]371 Community Livestock Assets '!R55="","",'[1]371 Community Livestock Assets '!R55)</f>
        <v/>
      </c>
      <c r="T52" s="71" t="str">
        <f>IF('[1]371 Community Livestock Assets '!S55="","",'[1]371 Community Livestock Assets '!S55)</f>
        <v/>
      </c>
      <c r="U52" s="71" t="str">
        <f>IF('[1]371 Community Livestock Assets '!T55="","",'[1]371 Community Livestock Assets '!T55)</f>
        <v/>
      </c>
      <c r="V52" s="71" t="str">
        <f>IF('[1]371 Community Livestock Assets '!U55="","",'[1]371 Community Livestock Assets '!U55)</f>
        <v/>
      </c>
      <c r="W52" s="71" t="str">
        <f>IF('[1]371 Community Livestock Assets '!V55="","",'[1]371 Community Livestock Assets '!V55)</f>
        <v/>
      </c>
      <c r="X52" s="71" t="str">
        <f>IF('[1]371 Community Livestock Assets '!W55="","",'[1]371 Community Livestock Assets '!W55)</f>
        <v/>
      </c>
      <c r="Y52" s="71" t="str">
        <f>IF('[1]371 Community Livestock Assets '!X55="","",'[1]371 Community Livestock Assets '!X55)</f>
        <v/>
      </c>
      <c r="Z52" s="71" t="str">
        <f>IF('[1]371 Community Livestock Assets '!Y55="","",'[1]371 Community Livestock Assets '!Y55)</f>
        <v/>
      </c>
      <c r="AA52" s="71" t="str">
        <f>IF('[1]371 Community Livestock Assets '!Z55="","",'[1]371 Community Livestock Assets '!Z55)</f>
        <v/>
      </c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</row>
    <row r="53" spans="1:53" s="39" customFormat="1" ht="17" hidden="1" customHeight="1">
      <c r="A53" s="50"/>
      <c r="B53" s="93" t="str">
        <f>IF('[1]371 Community Livestock Assets '!B55=0," ",'[1]371 Community Livestock Assets '!B55)</f>
        <v xml:space="preserve"> </v>
      </c>
      <c r="C53" s="93" t="str">
        <f>IF('[1]371 Community Livestock Assets '!C56=0," ",'[1]371 Community Livestock Assets '!C56)</f>
        <v xml:space="preserve"> </v>
      </c>
      <c r="D53" s="88" t="str">
        <f t="shared" si="3"/>
        <v xml:space="preserve"> </v>
      </c>
      <c r="E53" s="71" t="str">
        <f>IF('[1]371 Community Livestock Assets '!D56="","",'[1]371 Community Livestock Assets '!D56)</f>
        <v/>
      </c>
      <c r="F53" s="71" t="str">
        <f>IF('[1]371 Community Livestock Assets '!E56="","",'[1]371 Community Livestock Assets '!E56)</f>
        <v/>
      </c>
      <c r="G53" s="71" t="str">
        <f>IF('[1]371 Community Livestock Assets '!F56="","",'[1]371 Community Livestock Assets '!F56)</f>
        <v/>
      </c>
      <c r="H53" s="71" t="str">
        <f>IF('[1]371 Community Livestock Assets '!G56="","",'[1]371 Community Livestock Assets '!G56)</f>
        <v/>
      </c>
      <c r="I53" s="71" t="str">
        <f>IF('[1]371 Community Livestock Assets '!H56="","",'[1]371 Community Livestock Assets '!H56)</f>
        <v/>
      </c>
      <c r="J53" s="71" t="str">
        <f>IF('[1]371 Community Livestock Assets '!I56="","",'[1]371 Community Livestock Assets '!I56)</f>
        <v/>
      </c>
      <c r="K53" s="71" t="str">
        <f>IF('[1]371 Community Livestock Assets '!J56="","",'[1]371 Community Livestock Assets '!J56)</f>
        <v/>
      </c>
      <c r="L53" s="71" t="str">
        <f>IF('[1]371 Community Livestock Assets '!K56="","",'[1]371 Community Livestock Assets '!K56)</f>
        <v/>
      </c>
      <c r="M53" s="71" t="str">
        <f>IF('[1]371 Community Livestock Assets '!L56="","",'[1]371 Community Livestock Assets '!L56)</f>
        <v/>
      </c>
      <c r="N53" s="71" t="str">
        <f>IF('[1]371 Community Livestock Assets '!M56="","",'[1]371 Community Livestock Assets '!M56)</f>
        <v/>
      </c>
      <c r="O53" s="71" t="str">
        <f>IF('[1]371 Community Livestock Assets '!N56="","",'[1]371 Community Livestock Assets '!N56)</f>
        <v/>
      </c>
      <c r="P53" s="71" t="str">
        <f>IF('[1]371 Community Livestock Assets '!O56="","",'[1]371 Community Livestock Assets '!O56)</f>
        <v/>
      </c>
      <c r="Q53" s="71" t="str">
        <f>IF('[1]371 Community Livestock Assets '!P56="","",'[1]371 Community Livestock Assets '!P56)</f>
        <v/>
      </c>
      <c r="R53" s="71" t="str">
        <f>IF('[1]371 Community Livestock Assets '!Q56="","",'[1]371 Community Livestock Assets '!Q56)</f>
        <v/>
      </c>
      <c r="S53" s="71" t="str">
        <f>IF('[1]371 Community Livestock Assets '!R56="","",'[1]371 Community Livestock Assets '!R56)</f>
        <v/>
      </c>
      <c r="T53" s="71" t="str">
        <f>IF('[1]371 Community Livestock Assets '!S56="","",'[1]371 Community Livestock Assets '!S56)</f>
        <v/>
      </c>
      <c r="U53" s="71" t="str">
        <f>IF('[1]371 Community Livestock Assets '!T56="","",'[1]371 Community Livestock Assets '!T56)</f>
        <v/>
      </c>
      <c r="V53" s="71" t="str">
        <f>IF('[1]371 Community Livestock Assets '!U56="","",'[1]371 Community Livestock Assets '!U56)</f>
        <v/>
      </c>
      <c r="W53" s="71" t="str">
        <f>IF('[1]371 Community Livestock Assets '!V56="","",'[1]371 Community Livestock Assets '!V56)</f>
        <v/>
      </c>
      <c r="X53" s="71" t="str">
        <f>IF('[1]371 Community Livestock Assets '!W56="","",'[1]371 Community Livestock Assets '!W56)</f>
        <v/>
      </c>
      <c r="Y53" s="71" t="str">
        <f>IF('[1]371 Community Livestock Assets '!X56="","",'[1]371 Community Livestock Assets '!X56)</f>
        <v/>
      </c>
      <c r="Z53" s="71" t="str">
        <f>IF('[1]371 Community Livestock Assets '!Y56="","",'[1]371 Community Livestock Assets '!Y56)</f>
        <v/>
      </c>
      <c r="AA53" s="71" t="str">
        <f>IF('[1]371 Community Livestock Assets '!Z56="","",'[1]371 Community Livestock Assets '!Z56)</f>
        <v/>
      </c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</row>
    <row r="54" spans="1:53" s="39" customFormat="1" ht="17" hidden="1" customHeight="1">
      <c r="A54" s="50"/>
      <c r="B54" s="93" t="str">
        <f>IF('[1]371 Community Livestock Assets '!B56=0," ",'[1]371 Community Livestock Assets '!B56)</f>
        <v xml:space="preserve"> </v>
      </c>
      <c r="C54" s="93" t="str">
        <f>IF('[1]371 Community Livestock Assets '!C57=0," ",'[1]371 Community Livestock Assets '!C57)</f>
        <v xml:space="preserve"> </v>
      </c>
      <c r="D54" s="88" t="str">
        <f t="shared" si="3"/>
        <v xml:space="preserve"> </v>
      </c>
      <c r="E54" s="71" t="str">
        <f>IF('[1]371 Community Livestock Assets '!D57="","",'[1]371 Community Livestock Assets '!D57)</f>
        <v/>
      </c>
      <c r="F54" s="71" t="str">
        <f>IF('[1]371 Community Livestock Assets '!E57="","",'[1]371 Community Livestock Assets '!E57)</f>
        <v/>
      </c>
      <c r="G54" s="71" t="str">
        <f>IF('[1]371 Community Livestock Assets '!F57="","",'[1]371 Community Livestock Assets '!F57)</f>
        <v/>
      </c>
      <c r="H54" s="71" t="str">
        <f>IF('[1]371 Community Livestock Assets '!G57="","",'[1]371 Community Livestock Assets '!G57)</f>
        <v/>
      </c>
      <c r="I54" s="71" t="str">
        <f>IF('[1]371 Community Livestock Assets '!H57="","",'[1]371 Community Livestock Assets '!H57)</f>
        <v/>
      </c>
      <c r="J54" s="71" t="str">
        <f>IF('[1]371 Community Livestock Assets '!I57="","",'[1]371 Community Livestock Assets '!I57)</f>
        <v/>
      </c>
      <c r="K54" s="71" t="str">
        <f>IF('[1]371 Community Livestock Assets '!J57="","",'[1]371 Community Livestock Assets '!J57)</f>
        <v/>
      </c>
      <c r="L54" s="71" t="str">
        <f>IF('[1]371 Community Livestock Assets '!K57="","",'[1]371 Community Livestock Assets '!K57)</f>
        <v/>
      </c>
      <c r="M54" s="71" t="str">
        <f>IF('[1]371 Community Livestock Assets '!L57="","",'[1]371 Community Livestock Assets '!L57)</f>
        <v/>
      </c>
      <c r="N54" s="71" t="str">
        <f>IF('[1]371 Community Livestock Assets '!M57="","",'[1]371 Community Livestock Assets '!M57)</f>
        <v/>
      </c>
      <c r="O54" s="71" t="str">
        <f>IF('[1]371 Community Livestock Assets '!N57="","",'[1]371 Community Livestock Assets '!N57)</f>
        <v/>
      </c>
      <c r="P54" s="71" t="str">
        <f>IF('[1]371 Community Livestock Assets '!O57="","",'[1]371 Community Livestock Assets '!O57)</f>
        <v/>
      </c>
      <c r="Q54" s="71" t="str">
        <f>IF('[1]371 Community Livestock Assets '!P57="","",'[1]371 Community Livestock Assets '!P57)</f>
        <v/>
      </c>
      <c r="R54" s="71" t="str">
        <f>IF('[1]371 Community Livestock Assets '!Q57="","",'[1]371 Community Livestock Assets '!Q57)</f>
        <v/>
      </c>
      <c r="S54" s="71" t="str">
        <f>IF('[1]371 Community Livestock Assets '!R57="","",'[1]371 Community Livestock Assets '!R57)</f>
        <v/>
      </c>
      <c r="T54" s="71" t="str">
        <f>IF('[1]371 Community Livestock Assets '!S57="","",'[1]371 Community Livestock Assets '!S57)</f>
        <v/>
      </c>
      <c r="U54" s="71" t="str">
        <f>IF('[1]371 Community Livestock Assets '!T57="","",'[1]371 Community Livestock Assets '!T57)</f>
        <v/>
      </c>
      <c r="V54" s="71" t="str">
        <f>IF('[1]371 Community Livestock Assets '!U57="","",'[1]371 Community Livestock Assets '!U57)</f>
        <v/>
      </c>
      <c r="W54" s="71" t="str">
        <f>IF('[1]371 Community Livestock Assets '!V57="","",'[1]371 Community Livestock Assets '!V57)</f>
        <v/>
      </c>
      <c r="X54" s="71" t="str">
        <f>IF('[1]371 Community Livestock Assets '!W57="","",'[1]371 Community Livestock Assets '!W57)</f>
        <v/>
      </c>
      <c r="Y54" s="71" t="str">
        <f>IF('[1]371 Community Livestock Assets '!X57="","",'[1]371 Community Livestock Assets '!X57)</f>
        <v/>
      </c>
      <c r="Z54" s="71" t="str">
        <f>IF('[1]371 Community Livestock Assets '!Y57="","",'[1]371 Community Livestock Assets '!Y57)</f>
        <v/>
      </c>
      <c r="AA54" s="71" t="str">
        <f>IF('[1]371 Community Livestock Assets '!Z57="","",'[1]371 Community Livestock Assets '!Z57)</f>
        <v/>
      </c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</row>
    <row r="55" spans="1:53" s="39" customFormat="1" ht="17" hidden="1" customHeight="1">
      <c r="A55" s="50"/>
      <c r="B55" s="93" t="str">
        <f>IF('[1]371 Community Livestock Assets '!B57=0," ",'[1]371 Community Livestock Assets '!B57)</f>
        <v xml:space="preserve"> </v>
      </c>
      <c r="C55" s="93" t="str">
        <f>IF('[1]371 Community Livestock Assets '!C58=0," ",'[1]371 Community Livestock Assets '!C58)</f>
        <v xml:space="preserve"> </v>
      </c>
      <c r="D55" s="88" t="str">
        <f t="shared" si="3"/>
        <v xml:space="preserve"> </v>
      </c>
      <c r="E55" s="71" t="str">
        <f>IF('[1]371 Community Livestock Assets '!D58="","",'[1]371 Community Livestock Assets '!D58)</f>
        <v/>
      </c>
      <c r="F55" s="71" t="str">
        <f>IF('[1]371 Community Livestock Assets '!E58="","",'[1]371 Community Livestock Assets '!E58)</f>
        <v/>
      </c>
      <c r="G55" s="71" t="str">
        <f>IF('[1]371 Community Livestock Assets '!F58="","",'[1]371 Community Livestock Assets '!F58)</f>
        <v/>
      </c>
      <c r="H55" s="71" t="str">
        <f>IF('[1]371 Community Livestock Assets '!G58="","",'[1]371 Community Livestock Assets '!G58)</f>
        <v/>
      </c>
      <c r="I55" s="71" t="str">
        <f>IF('[1]371 Community Livestock Assets '!H58="","",'[1]371 Community Livestock Assets '!H58)</f>
        <v/>
      </c>
      <c r="J55" s="71" t="str">
        <f>IF('[1]371 Community Livestock Assets '!I58="","",'[1]371 Community Livestock Assets '!I58)</f>
        <v/>
      </c>
      <c r="K55" s="71" t="str">
        <f>IF('[1]371 Community Livestock Assets '!J58="","",'[1]371 Community Livestock Assets '!J58)</f>
        <v/>
      </c>
      <c r="L55" s="71" t="str">
        <f>IF('[1]371 Community Livestock Assets '!K58="","",'[1]371 Community Livestock Assets '!K58)</f>
        <v/>
      </c>
      <c r="M55" s="71" t="str">
        <f>IF('[1]371 Community Livestock Assets '!L58="","",'[1]371 Community Livestock Assets '!L58)</f>
        <v/>
      </c>
      <c r="N55" s="71" t="str">
        <f>IF('[1]371 Community Livestock Assets '!M58="","",'[1]371 Community Livestock Assets '!M58)</f>
        <v/>
      </c>
      <c r="O55" s="71" t="str">
        <f>IF('[1]371 Community Livestock Assets '!N58="","",'[1]371 Community Livestock Assets '!N58)</f>
        <v/>
      </c>
      <c r="P55" s="71" t="str">
        <f>IF('[1]371 Community Livestock Assets '!O58="","",'[1]371 Community Livestock Assets '!O58)</f>
        <v/>
      </c>
      <c r="Q55" s="71" t="str">
        <f>IF('[1]371 Community Livestock Assets '!P58="","",'[1]371 Community Livestock Assets '!P58)</f>
        <v/>
      </c>
      <c r="R55" s="71" t="str">
        <f>IF('[1]371 Community Livestock Assets '!Q58="","",'[1]371 Community Livestock Assets '!Q58)</f>
        <v/>
      </c>
      <c r="S55" s="71" t="str">
        <f>IF('[1]371 Community Livestock Assets '!R58="","",'[1]371 Community Livestock Assets '!R58)</f>
        <v/>
      </c>
      <c r="T55" s="71" t="str">
        <f>IF('[1]371 Community Livestock Assets '!S58="","",'[1]371 Community Livestock Assets '!S58)</f>
        <v/>
      </c>
      <c r="U55" s="71" t="str">
        <f>IF('[1]371 Community Livestock Assets '!T58="","",'[1]371 Community Livestock Assets '!T58)</f>
        <v/>
      </c>
      <c r="V55" s="71" t="str">
        <f>IF('[1]371 Community Livestock Assets '!U58="","",'[1]371 Community Livestock Assets '!U58)</f>
        <v/>
      </c>
      <c r="W55" s="71" t="str">
        <f>IF('[1]371 Community Livestock Assets '!V58="","",'[1]371 Community Livestock Assets '!V58)</f>
        <v/>
      </c>
      <c r="X55" s="71" t="str">
        <f>IF('[1]371 Community Livestock Assets '!W58="","",'[1]371 Community Livestock Assets '!W58)</f>
        <v/>
      </c>
      <c r="Y55" s="71" t="str">
        <f>IF('[1]371 Community Livestock Assets '!X58="","",'[1]371 Community Livestock Assets '!X58)</f>
        <v/>
      </c>
      <c r="Z55" s="71" t="str">
        <f>IF('[1]371 Community Livestock Assets '!Y58="","",'[1]371 Community Livestock Assets '!Y58)</f>
        <v/>
      </c>
      <c r="AA55" s="71" t="str">
        <f>IF('[1]371 Community Livestock Assets '!Z58="","",'[1]371 Community Livestock Assets '!Z58)</f>
        <v/>
      </c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</row>
    <row r="56" spans="1:53" s="39" customFormat="1" ht="17" hidden="1" customHeight="1">
      <c r="A56" s="50"/>
      <c r="B56" s="93" t="str">
        <f>IF('[1]371 Community Livestock Assets '!B58=0," ",'[1]371 Community Livestock Assets '!B58)</f>
        <v xml:space="preserve"> </v>
      </c>
      <c r="C56" s="93" t="str">
        <f>IF('[1]371 Community Livestock Assets '!C59=0," ",'[1]371 Community Livestock Assets '!C59)</f>
        <v xml:space="preserve"> </v>
      </c>
      <c r="D56" s="88" t="str">
        <f t="shared" si="3"/>
        <v xml:space="preserve"> </v>
      </c>
      <c r="E56" s="71" t="str">
        <f>IF('[1]371 Community Livestock Assets '!D59="","",'[1]371 Community Livestock Assets '!D59)</f>
        <v/>
      </c>
      <c r="F56" s="71" t="str">
        <f>IF('[1]371 Community Livestock Assets '!E59="","",'[1]371 Community Livestock Assets '!E59)</f>
        <v/>
      </c>
      <c r="G56" s="71" t="str">
        <f>IF('[1]371 Community Livestock Assets '!F59="","",'[1]371 Community Livestock Assets '!F59)</f>
        <v/>
      </c>
      <c r="H56" s="71" t="str">
        <f>IF('[1]371 Community Livestock Assets '!G59="","",'[1]371 Community Livestock Assets '!G59)</f>
        <v/>
      </c>
      <c r="I56" s="71" t="str">
        <f>IF('[1]371 Community Livestock Assets '!H59="","",'[1]371 Community Livestock Assets '!H59)</f>
        <v/>
      </c>
      <c r="J56" s="71" t="str">
        <f>IF('[1]371 Community Livestock Assets '!I59="","",'[1]371 Community Livestock Assets '!I59)</f>
        <v/>
      </c>
      <c r="K56" s="71" t="str">
        <f>IF('[1]371 Community Livestock Assets '!J59="","",'[1]371 Community Livestock Assets '!J59)</f>
        <v/>
      </c>
      <c r="L56" s="71" t="str">
        <f>IF('[1]371 Community Livestock Assets '!K59="","",'[1]371 Community Livestock Assets '!K59)</f>
        <v/>
      </c>
      <c r="M56" s="71" t="str">
        <f>IF('[1]371 Community Livestock Assets '!L59="","",'[1]371 Community Livestock Assets '!L59)</f>
        <v/>
      </c>
      <c r="N56" s="71" t="str">
        <f>IF('[1]371 Community Livestock Assets '!M59="","",'[1]371 Community Livestock Assets '!M59)</f>
        <v/>
      </c>
      <c r="O56" s="71" t="str">
        <f>IF('[1]371 Community Livestock Assets '!N59="","",'[1]371 Community Livestock Assets '!N59)</f>
        <v/>
      </c>
      <c r="P56" s="71" t="str">
        <f>IF('[1]371 Community Livestock Assets '!O59="","",'[1]371 Community Livestock Assets '!O59)</f>
        <v/>
      </c>
      <c r="Q56" s="71" t="str">
        <f>IF('[1]371 Community Livestock Assets '!P59="","",'[1]371 Community Livestock Assets '!P59)</f>
        <v/>
      </c>
      <c r="R56" s="71" t="str">
        <f>IF('[1]371 Community Livestock Assets '!Q59="","",'[1]371 Community Livestock Assets '!Q59)</f>
        <v/>
      </c>
      <c r="S56" s="71" t="str">
        <f>IF('[1]371 Community Livestock Assets '!R59="","",'[1]371 Community Livestock Assets '!R59)</f>
        <v/>
      </c>
      <c r="T56" s="71" t="str">
        <f>IF('[1]371 Community Livestock Assets '!S59="","",'[1]371 Community Livestock Assets '!S59)</f>
        <v/>
      </c>
      <c r="U56" s="71" t="str">
        <f>IF('[1]371 Community Livestock Assets '!T59="","",'[1]371 Community Livestock Assets '!T59)</f>
        <v/>
      </c>
      <c r="V56" s="71" t="str">
        <f>IF('[1]371 Community Livestock Assets '!U59="","",'[1]371 Community Livestock Assets '!U59)</f>
        <v/>
      </c>
      <c r="W56" s="71" t="str">
        <f>IF('[1]371 Community Livestock Assets '!V59="","",'[1]371 Community Livestock Assets '!V59)</f>
        <v/>
      </c>
      <c r="X56" s="71" t="str">
        <f>IF('[1]371 Community Livestock Assets '!W59="","",'[1]371 Community Livestock Assets '!W59)</f>
        <v/>
      </c>
      <c r="Y56" s="71" t="str">
        <f>IF('[1]371 Community Livestock Assets '!X59="","",'[1]371 Community Livestock Assets '!X59)</f>
        <v/>
      </c>
      <c r="Z56" s="71" t="str">
        <f>IF('[1]371 Community Livestock Assets '!Y59="","",'[1]371 Community Livestock Assets '!Y59)</f>
        <v/>
      </c>
      <c r="AA56" s="71" t="str">
        <f>IF('[1]371 Community Livestock Assets '!Z59="","",'[1]371 Community Livestock Assets '!Z59)</f>
        <v/>
      </c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</row>
    <row r="57" spans="1:53" s="39" customFormat="1" ht="17" hidden="1" customHeight="1">
      <c r="A57" s="50"/>
      <c r="B57" s="93" t="str">
        <f>IF('[1]371 Community Livestock Assets '!B59=0," ",'[1]371 Community Livestock Assets '!B59)</f>
        <v xml:space="preserve"> </v>
      </c>
      <c r="C57" s="93" t="str">
        <f>IF('[1]371 Community Livestock Assets '!C60=0," ",'[1]371 Community Livestock Assets '!C60)</f>
        <v xml:space="preserve"> </v>
      </c>
      <c r="D57" s="88" t="str">
        <f t="shared" si="3"/>
        <v xml:space="preserve"> </v>
      </c>
      <c r="E57" s="71" t="str">
        <f>IF('[1]371 Community Livestock Assets '!D60="","",'[1]371 Community Livestock Assets '!D60)</f>
        <v/>
      </c>
      <c r="F57" s="71" t="str">
        <f>IF('[1]371 Community Livestock Assets '!E60="","",'[1]371 Community Livestock Assets '!E60)</f>
        <v/>
      </c>
      <c r="G57" s="71" t="str">
        <f>IF('[1]371 Community Livestock Assets '!F60="","",'[1]371 Community Livestock Assets '!F60)</f>
        <v/>
      </c>
      <c r="H57" s="71" t="str">
        <f>IF('[1]371 Community Livestock Assets '!G60="","",'[1]371 Community Livestock Assets '!G60)</f>
        <v/>
      </c>
      <c r="I57" s="71" t="str">
        <f>IF('[1]371 Community Livestock Assets '!H60="","",'[1]371 Community Livestock Assets '!H60)</f>
        <v/>
      </c>
      <c r="J57" s="71" t="str">
        <f>IF('[1]371 Community Livestock Assets '!I60="","",'[1]371 Community Livestock Assets '!I60)</f>
        <v/>
      </c>
      <c r="K57" s="71" t="str">
        <f>IF('[1]371 Community Livestock Assets '!J60="","",'[1]371 Community Livestock Assets '!J60)</f>
        <v/>
      </c>
      <c r="L57" s="71" t="str">
        <f>IF('[1]371 Community Livestock Assets '!K60="","",'[1]371 Community Livestock Assets '!K60)</f>
        <v/>
      </c>
      <c r="M57" s="71" t="str">
        <f>IF('[1]371 Community Livestock Assets '!L60="","",'[1]371 Community Livestock Assets '!L60)</f>
        <v/>
      </c>
      <c r="N57" s="71" t="str">
        <f>IF('[1]371 Community Livestock Assets '!M60="","",'[1]371 Community Livestock Assets '!M60)</f>
        <v/>
      </c>
      <c r="O57" s="71" t="str">
        <f>IF('[1]371 Community Livestock Assets '!N60="","",'[1]371 Community Livestock Assets '!N60)</f>
        <v/>
      </c>
      <c r="P57" s="71" t="str">
        <f>IF('[1]371 Community Livestock Assets '!O60="","",'[1]371 Community Livestock Assets '!O60)</f>
        <v/>
      </c>
      <c r="Q57" s="71" t="str">
        <f>IF('[1]371 Community Livestock Assets '!P60="","",'[1]371 Community Livestock Assets '!P60)</f>
        <v/>
      </c>
      <c r="R57" s="71" t="str">
        <f>IF('[1]371 Community Livestock Assets '!Q60="","",'[1]371 Community Livestock Assets '!Q60)</f>
        <v/>
      </c>
      <c r="S57" s="71" t="str">
        <f>IF('[1]371 Community Livestock Assets '!R60="","",'[1]371 Community Livestock Assets '!R60)</f>
        <v/>
      </c>
      <c r="T57" s="71" t="str">
        <f>IF('[1]371 Community Livestock Assets '!S60="","",'[1]371 Community Livestock Assets '!S60)</f>
        <v/>
      </c>
      <c r="U57" s="71" t="str">
        <f>IF('[1]371 Community Livestock Assets '!T60="","",'[1]371 Community Livestock Assets '!T60)</f>
        <v/>
      </c>
      <c r="V57" s="71" t="str">
        <f>IF('[1]371 Community Livestock Assets '!U60="","",'[1]371 Community Livestock Assets '!U60)</f>
        <v/>
      </c>
      <c r="W57" s="71" t="str">
        <f>IF('[1]371 Community Livestock Assets '!V60="","",'[1]371 Community Livestock Assets '!V60)</f>
        <v/>
      </c>
      <c r="X57" s="71" t="str">
        <f>IF('[1]371 Community Livestock Assets '!W60="","",'[1]371 Community Livestock Assets '!W60)</f>
        <v/>
      </c>
      <c r="Y57" s="71" t="str">
        <f>IF('[1]371 Community Livestock Assets '!X60="","",'[1]371 Community Livestock Assets '!X60)</f>
        <v/>
      </c>
      <c r="Z57" s="71" t="str">
        <f>IF('[1]371 Community Livestock Assets '!Y60="","",'[1]371 Community Livestock Assets '!Y60)</f>
        <v/>
      </c>
      <c r="AA57" s="71" t="str">
        <f>IF('[1]371 Community Livestock Assets '!Z60="","",'[1]371 Community Livestock Assets '!Z60)</f>
        <v/>
      </c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</row>
    <row r="58" spans="1:53" s="39" customFormat="1" ht="17" hidden="1" customHeight="1">
      <c r="A58" s="50"/>
      <c r="B58" s="93" t="str">
        <f>IF('[1]371 Community Livestock Assets '!B60=0," ",'[1]371 Community Livestock Assets '!B60)</f>
        <v xml:space="preserve"> </v>
      </c>
      <c r="C58" s="93" t="str">
        <f>IF('[1]371 Community Livestock Assets '!C61=0," ",'[1]371 Community Livestock Assets '!C61)</f>
        <v xml:space="preserve"> </v>
      </c>
      <c r="D58" s="88" t="str">
        <f t="shared" si="3"/>
        <v xml:space="preserve"> </v>
      </c>
      <c r="E58" s="71" t="str">
        <f>IF('[1]371 Community Livestock Assets '!D61="","",'[1]371 Community Livestock Assets '!D61)</f>
        <v/>
      </c>
      <c r="F58" s="71" t="str">
        <f>IF('[1]371 Community Livestock Assets '!E61="","",'[1]371 Community Livestock Assets '!E61)</f>
        <v/>
      </c>
      <c r="G58" s="71" t="str">
        <f>IF('[1]371 Community Livestock Assets '!F61="","",'[1]371 Community Livestock Assets '!F61)</f>
        <v/>
      </c>
      <c r="H58" s="71" t="str">
        <f>IF('[1]371 Community Livestock Assets '!G61="","",'[1]371 Community Livestock Assets '!G61)</f>
        <v/>
      </c>
      <c r="I58" s="71" t="str">
        <f>IF('[1]371 Community Livestock Assets '!H61="","",'[1]371 Community Livestock Assets '!H61)</f>
        <v/>
      </c>
      <c r="J58" s="71" t="str">
        <f>IF('[1]371 Community Livestock Assets '!I61="","",'[1]371 Community Livestock Assets '!I61)</f>
        <v/>
      </c>
      <c r="K58" s="71" t="str">
        <f>IF('[1]371 Community Livestock Assets '!J61="","",'[1]371 Community Livestock Assets '!J61)</f>
        <v/>
      </c>
      <c r="L58" s="71" t="str">
        <f>IF('[1]371 Community Livestock Assets '!K61="","",'[1]371 Community Livestock Assets '!K61)</f>
        <v/>
      </c>
      <c r="M58" s="71" t="str">
        <f>IF('[1]371 Community Livestock Assets '!L61="","",'[1]371 Community Livestock Assets '!L61)</f>
        <v/>
      </c>
      <c r="N58" s="71" t="str">
        <f>IF('[1]371 Community Livestock Assets '!M61="","",'[1]371 Community Livestock Assets '!M61)</f>
        <v/>
      </c>
      <c r="O58" s="71" t="str">
        <f>IF('[1]371 Community Livestock Assets '!N61="","",'[1]371 Community Livestock Assets '!N61)</f>
        <v/>
      </c>
      <c r="P58" s="71" t="str">
        <f>IF('[1]371 Community Livestock Assets '!O61="","",'[1]371 Community Livestock Assets '!O61)</f>
        <v/>
      </c>
      <c r="Q58" s="71" t="str">
        <f>IF('[1]371 Community Livestock Assets '!P61="","",'[1]371 Community Livestock Assets '!P61)</f>
        <v/>
      </c>
      <c r="R58" s="71" t="str">
        <f>IF('[1]371 Community Livestock Assets '!Q61="","",'[1]371 Community Livestock Assets '!Q61)</f>
        <v/>
      </c>
      <c r="S58" s="71" t="str">
        <f>IF('[1]371 Community Livestock Assets '!R61="","",'[1]371 Community Livestock Assets '!R61)</f>
        <v/>
      </c>
      <c r="T58" s="71" t="str">
        <f>IF('[1]371 Community Livestock Assets '!S61="","",'[1]371 Community Livestock Assets '!S61)</f>
        <v/>
      </c>
      <c r="U58" s="71" t="str">
        <f>IF('[1]371 Community Livestock Assets '!T61="","",'[1]371 Community Livestock Assets '!T61)</f>
        <v/>
      </c>
      <c r="V58" s="71" t="str">
        <f>IF('[1]371 Community Livestock Assets '!U61="","",'[1]371 Community Livestock Assets '!U61)</f>
        <v/>
      </c>
      <c r="W58" s="71" t="str">
        <f>IF('[1]371 Community Livestock Assets '!V61="","",'[1]371 Community Livestock Assets '!V61)</f>
        <v/>
      </c>
      <c r="X58" s="71" t="str">
        <f>IF('[1]371 Community Livestock Assets '!W61="","",'[1]371 Community Livestock Assets '!W61)</f>
        <v/>
      </c>
      <c r="Y58" s="71" t="str">
        <f>IF('[1]371 Community Livestock Assets '!X61="","",'[1]371 Community Livestock Assets '!X61)</f>
        <v/>
      </c>
      <c r="Z58" s="71" t="str">
        <f>IF('[1]371 Community Livestock Assets '!Y61="","",'[1]371 Community Livestock Assets '!Y61)</f>
        <v/>
      </c>
      <c r="AA58" s="71" t="str">
        <f>IF('[1]371 Community Livestock Assets '!Z61="","",'[1]371 Community Livestock Assets '!Z61)</f>
        <v/>
      </c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</row>
    <row r="59" spans="1:53" s="39" customFormat="1" ht="17" hidden="1" customHeight="1">
      <c r="A59" s="50"/>
      <c r="B59" s="93" t="str">
        <f>IF('[1]371 Community Livestock Assets '!B61=0," ",'[1]371 Community Livestock Assets '!B61)</f>
        <v xml:space="preserve"> </v>
      </c>
      <c r="C59" s="93" t="str">
        <f>IF('[1]371 Community Livestock Assets '!C62=0," ",'[1]371 Community Livestock Assets '!C62)</f>
        <v xml:space="preserve"> </v>
      </c>
      <c r="D59" s="88" t="str">
        <f t="shared" si="3"/>
        <v xml:space="preserve"> </v>
      </c>
      <c r="E59" s="71" t="str">
        <f>IF('[1]371 Community Livestock Assets '!D62="","",'[1]371 Community Livestock Assets '!D62)</f>
        <v/>
      </c>
      <c r="F59" s="71" t="str">
        <f>IF('[1]371 Community Livestock Assets '!E62="","",'[1]371 Community Livestock Assets '!E62)</f>
        <v/>
      </c>
      <c r="G59" s="71" t="str">
        <f>IF('[1]371 Community Livestock Assets '!F62="","",'[1]371 Community Livestock Assets '!F62)</f>
        <v/>
      </c>
      <c r="H59" s="71" t="str">
        <f>IF('[1]371 Community Livestock Assets '!G62="","",'[1]371 Community Livestock Assets '!G62)</f>
        <v/>
      </c>
      <c r="I59" s="71" t="str">
        <f>IF('[1]371 Community Livestock Assets '!H62="","",'[1]371 Community Livestock Assets '!H62)</f>
        <v/>
      </c>
      <c r="J59" s="71" t="str">
        <f>IF('[1]371 Community Livestock Assets '!I62="","",'[1]371 Community Livestock Assets '!I62)</f>
        <v/>
      </c>
      <c r="K59" s="71" t="str">
        <f>IF('[1]371 Community Livestock Assets '!J62="","",'[1]371 Community Livestock Assets '!J62)</f>
        <v/>
      </c>
      <c r="L59" s="71" t="str">
        <f>IF('[1]371 Community Livestock Assets '!K62="","",'[1]371 Community Livestock Assets '!K62)</f>
        <v/>
      </c>
      <c r="M59" s="71" t="str">
        <f>IF('[1]371 Community Livestock Assets '!L62="","",'[1]371 Community Livestock Assets '!L62)</f>
        <v/>
      </c>
      <c r="N59" s="71" t="str">
        <f>IF('[1]371 Community Livestock Assets '!M62="","",'[1]371 Community Livestock Assets '!M62)</f>
        <v/>
      </c>
      <c r="O59" s="71" t="str">
        <f>IF('[1]371 Community Livestock Assets '!N62="","",'[1]371 Community Livestock Assets '!N62)</f>
        <v/>
      </c>
      <c r="P59" s="71" t="str">
        <f>IF('[1]371 Community Livestock Assets '!O62="","",'[1]371 Community Livestock Assets '!O62)</f>
        <v/>
      </c>
      <c r="Q59" s="71" t="str">
        <f>IF('[1]371 Community Livestock Assets '!P62="","",'[1]371 Community Livestock Assets '!P62)</f>
        <v/>
      </c>
      <c r="R59" s="71" t="str">
        <f>IF('[1]371 Community Livestock Assets '!Q62="","",'[1]371 Community Livestock Assets '!Q62)</f>
        <v/>
      </c>
      <c r="S59" s="71" t="str">
        <f>IF('[1]371 Community Livestock Assets '!R62="","",'[1]371 Community Livestock Assets '!R62)</f>
        <v/>
      </c>
      <c r="T59" s="71" t="str">
        <f>IF('[1]371 Community Livestock Assets '!S62="","",'[1]371 Community Livestock Assets '!S62)</f>
        <v/>
      </c>
      <c r="U59" s="71" t="str">
        <f>IF('[1]371 Community Livestock Assets '!T62="","",'[1]371 Community Livestock Assets '!T62)</f>
        <v/>
      </c>
      <c r="V59" s="71" t="str">
        <f>IF('[1]371 Community Livestock Assets '!U62="","",'[1]371 Community Livestock Assets '!U62)</f>
        <v/>
      </c>
      <c r="W59" s="71" t="str">
        <f>IF('[1]371 Community Livestock Assets '!V62="","",'[1]371 Community Livestock Assets '!V62)</f>
        <v/>
      </c>
      <c r="X59" s="71" t="str">
        <f>IF('[1]371 Community Livestock Assets '!W62="","",'[1]371 Community Livestock Assets '!W62)</f>
        <v/>
      </c>
      <c r="Y59" s="71" t="str">
        <f>IF('[1]371 Community Livestock Assets '!X62="","",'[1]371 Community Livestock Assets '!X62)</f>
        <v/>
      </c>
      <c r="Z59" s="71" t="str">
        <f>IF('[1]371 Community Livestock Assets '!Y62="","",'[1]371 Community Livestock Assets '!Y62)</f>
        <v/>
      </c>
      <c r="AA59" s="71" t="str">
        <f>IF('[1]371 Community Livestock Assets '!Z62="","",'[1]371 Community Livestock Assets '!Z62)</f>
        <v/>
      </c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</row>
    <row r="60" spans="1:53" s="39" customFormat="1" ht="17" hidden="1" customHeight="1">
      <c r="A60" s="50"/>
      <c r="B60" s="93" t="str">
        <f>IF('[1]371 Community Livestock Assets '!B62=0," ",'[1]371 Community Livestock Assets '!B62)</f>
        <v xml:space="preserve"> </v>
      </c>
      <c r="C60" s="93" t="str">
        <f>IF('[1]371 Community Livestock Assets '!C63=0," ",'[1]371 Community Livestock Assets '!C63)</f>
        <v xml:space="preserve"> </v>
      </c>
      <c r="D60" s="88" t="str">
        <f t="shared" si="3"/>
        <v xml:space="preserve"> </v>
      </c>
      <c r="E60" s="71" t="str">
        <f>IF('[1]371 Community Livestock Assets '!D63="","",'[1]371 Community Livestock Assets '!D63)</f>
        <v/>
      </c>
      <c r="F60" s="71" t="str">
        <f>IF('[1]371 Community Livestock Assets '!E63="","",'[1]371 Community Livestock Assets '!E63)</f>
        <v/>
      </c>
      <c r="G60" s="71" t="str">
        <f>IF('[1]371 Community Livestock Assets '!F63="","",'[1]371 Community Livestock Assets '!F63)</f>
        <v/>
      </c>
      <c r="H60" s="71" t="str">
        <f>IF('[1]371 Community Livestock Assets '!G63="","",'[1]371 Community Livestock Assets '!G63)</f>
        <v/>
      </c>
      <c r="I60" s="71" t="str">
        <f>IF('[1]371 Community Livestock Assets '!H63="","",'[1]371 Community Livestock Assets '!H63)</f>
        <v/>
      </c>
      <c r="J60" s="71" t="str">
        <f>IF('[1]371 Community Livestock Assets '!I63="","",'[1]371 Community Livestock Assets '!I63)</f>
        <v/>
      </c>
      <c r="K60" s="71" t="str">
        <f>IF('[1]371 Community Livestock Assets '!J63="","",'[1]371 Community Livestock Assets '!J63)</f>
        <v/>
      </c>
      <c r="L60" s="71" t="str">
        <f>IF('[1]371 Community Livestock Assets '!K63="","",'[1]371 Community Livestock Assets '!K63)</f>
        <v/>
      </c>
      <c r="M60" s="71" t="str">
        <f>IF('[1]371 Community Livestock Assets '!L63="","",'[1]371 Community Livestock Assets '!L63)</f>
        <v/>
      </c>
      <c r="N60" s="71" t="str">
        <f>IF('[1]371 Community Livestock Assets '!M63="","",'[1]371 Community Livestock Assets '!M63)</f>
        <v/>
      </c>
      <c r="O60" s="71" t="str">
        <f>IF('[1]371 Community Livestock Assets '!N63="","",'[1]371 Community Livestock Assets '!N63)</f>
        <v/>
      </c>
      <c r="P60" s="71" t="str">
        <f>IF('[1]371 Community Livestock Assets '!O63="","",'[1]371 Community Livestock Assets '!O63)</f>
        <v/>
      </c>
      <c r="Q60" s="71" t="str">
        <f>IF('[1]371 Community Livestock Assets '!P63="","",'[1]371 Community Livestock Assets '!P63)</f>
        <v/>
      </c>
      <c r="R60" s="71" t="str">
        <f>IF('[1]371 Community Livestock Assets '!Q63="","",'[1]371 Community Livestock Assets '!Q63)</f>
        <v/>
      </c>
      <c r="S60" s="71" t="str">
        <f>IF('[1]371 Community Livestock Assets '!R63="","",'[1]371 Community Livestock Assets '!R63)</f>
        <v/>
      </c>
      <c r="T60" s="71" t="str">
        <f>IF('[1]371 Community Livestock Assets '!S63="","",'[1]371 Community Livestock Assets '!S63)</f>
        <v/>
      </c>
      <c r="U60" s="71" t="str">
        <f>IF('[1]371 Community Livestock Assets '!T63="","",'[1]371 Community Livestock Assets '!T63)</f>
        <v/>
      </c>
      <c r="V60" s="71" t="str">
        <f>IF('[1]371 Community Livestock Assets '!U63="","",'[1]371 Community Livestock Assets '!U63)</f>
        <v/>
      </c>
      <c r="W60" s="71" t="str">
        <f>IF('[1]371 Community Livestock Assets '!V63="","",'[1]371 Community Livestock Assets '!V63)</f>
        <v/>
      </c>
      <c r="X60" s="71" t="str">
        <f>IF('[1]371 Community Livestock Assets '!W63="","",'[1]371 Community Livestock Assets '!W63)</f>
        <v/>
      </c>
      <c r="Y60" s="71" t="str">
        <f>IF('[1]371 Community Livestock Assets '!X63="","",'[1]371 Community Livestock Assets '!X63)</f>
        <v/>
      </c>
      <c r="Z60" s="71" t="str">
        <f>IF('[1]371 Community Livestock Assets '!Y63="","",'[1]371 Community Livestock Assets '!Y63)</f>
        <v/>
      </c>
      <c r="AA60" s="71" t="str">
        <f>IF('[1]371 Community Livestock Assets '!Z63="","",'[1]371 Community Livestock Assets '!Z63)</f>
        <v/>
      </c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</row>
    <row r="61" spans="1:53" s="39" customFormat="1" ht="17" hidden="1" customHeight="1">
      <c r="A61" s="50"/>
      <c r="B61" s="93" t="str">
        <f>IF('[1]371 Community Livestock Assets '!B63=0," ",'[1]371 Community Livestock Assets '!B63)</f>
        <v xml:space="preserve"> </v>
      </c>
      <c r="C61" s="93" t="str">
        <f>IF('[1]371 Community Livestock Assets '!C64=0," ",'[1]371 Community Livestock Assets '!C64)</f>
        <v xml:space="preserve"> </v>
      </c>
      <c r="D61" s="88" t="str">
        <f t="shared" si="3"/>
        <v xml:space="preserve"> </v>
      </c>
      <c r="E61" s="71" t="str">
        <f>IF('[1]371 Community Livestock Assets '!D64="","",'[1]371 Community Livestock Assets '!D64)</f>
        <v/>
      </c>
      <c r="F61" s="71" t="str">
        <f>IF('[1]371 Community Livestock Assets '!E64="","",'[1]371 Community Livestock Assets '!E64)</f>
        <v/>
      </c>
      <c r="G61" s="71" t="str">
        <f>IF('[1]371 Community Livestock Assets '!F64="","",'[1]371 Community Livestock Assets '!F64)</f>
        <v/>
      </c>
      <c r="H61" s="71" t="str">
        <f>IF('[1]371 Community Livestock Assets '!G64="","",'[1]371 Community Livestock Assets '!G64)</f>
        <v/>
      </c>
      <c r="I61" s="71" t="str">
        <f>IF('[1]371 Community Livestock Assets '!H64="","",'[1]371 Community Livestock Assets '!H64)</f>
        <v/>
      </c>
      <c r="J61" s="71" t="str">
        <f>IF('[1]371 Community Livestock Assets '!I64="","",'[1]371 Community Livestock Assets '!I64)</f>
        <v/>
      </c>
      <c r="K61" s="71" t="str">
        <f>IF('[1]371 Community Livestock Assets '!J64="","",'[1]371 Community Livestock Assets '!J64)</f>
        <v/>
      </c>
      <c r="L61" s="71" t="str">
        <f>IF('[1]371 Community Livestock Assets '!K64="","",'[1]371 Community Livestock Assets '!K64)</f>
        <v/>
      </c>
      <c r="M61" s="71" t="str">
        <f>IF('[1]371 Community Livestock Assets '!L64="","",'[1]371 Community Livestock Assets '!L64)</f>
        <v/>
      </c>
      <c r="N61" s="71" t="str">
        <f>IF('[1]371 Community Livestock Assets '!M64="","",'[1]371 Community Livestock Assets '!M64)</f>
        <v/>
      </c>
      <c r="O61" s="71" t="str">
        <f>IF('[1]371 Community Livestock Assets '!N64="","",'[1]371 Community Livestock Assets '!N64)</f>
        <v/>
      </c>
      <c r="P61" s="71" t="str">
        <f>IF('[1]371 Community Livestock Assets '!O64="","",'[1]371 Community Livestock Assets '!O64)</f>
        <v/>
      </c>
      <c r="Q61" s="71" t="str">
        <f>IF('[1]371 Community Livestock Assets '!P64="","",'[1]371 Community Livestock Assets '!P64)</f>
        <v/>
      </c>
      <c r="R61" s="71" t="str">
        <f>IF('[1]371 Community Livestock Assets '!Q64="","",'[1]371 Community Livestock Assets '!Q64)</f>
        <v/>
      </c>
      <c r="S61" s="71" t="str">
        <f>IF('[1]371 Community Livestock Assets '!R64="","",'[1]371 Community Livestock Assets '!R64)</f>
        <v/>
      </c>
      <c r="T61" s="71" t="str">
        <f>IF('[1]371 Community Livestock Assets '!S64="","",'[1]371 Community Livestock Assets '!S64)</f>
        <v/>
      </c>
      <c r="U61" s="71" t="str">
        <f>IF('[1]371 Community Livestock Assets '!T64="","",'[1]371 Community Livestock Assets '!T64)</f>
        <v/>
      </c>
      <c r="V61" s="71" t="str">
        <f>IF('[1]371 Community Livestock Assets '!U64="","",'[1]371 Community Livestock Assets '!U64)</f>
        <v/>
      </c>
      <c r="W61" s="71" t="str">
        <f>IF('[1]371 Community Livestock Assets '!V64="","",'[1]371 Community Livestock Assets '!V64)</f>
        <v/>
      </c>
      <c r="X61" s="71" t="str">
        <f>IF('[1]371 Community Livestock Assets '!W64="","",'[1]371 Community Livestock Assets '!W64)</f>
        <v/>
      </c>
      <c r="Y61" s="71" t="str">
        <f>IF('[1]371 Community Livestock Assets '!X64="","",'[1]371 Community Livestock Assets '!X64)</f>
        <v/>
      </c>
      <c r="Z61" s="71" t="str">
        <f>IF('[1]371 Community Livestock Assets '!Y64="","",'[1]371 Community Livestock Assets '!Y64)</f>
        <v/>
      </c>
      <c r="AA61" s="71" t="str">
        <f>IF('[1]371 Community Livestock Assets '!Z64="","",'[1]371 Community Livestock Assets '!Z64)</f>
        <v/>
      </c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</row>
    <row r="62" spans="1:53" s="39" customFormat="1" ht="17" hidden="1" customHeight="1">
      <c r="A62" s="50"/>
      <c r="B62" s="93" t="str">
        <f>IF('[1]371 Community Livestock Assets '!B64=0," ",'[1]371 Community Livestock Assets '!B64)</f>
        <v xml:space="preserve"> </v>
      </c>
      <c r="C62" s="93" t="str">
        <f>IF('[1]371 Community Livestock Assets '!C65=0," ",'[1]371 Community Livestock Assets '!C65)</f>
        <v xml:space="preserve"> </v>
      </c>
      <c r="D62" s="88" t="str">
        <f t="shared" si="3"/>
        <v xml:space="preserve"> </v>
      </c>
      <c r="E62" s="71" t="str">
        <f>IF('[1]371 Community Livestock Assets '!D65="","",'[1]371 Community Livestock Assets '!D65)</f>
        <v/>
      </c>
      <c r="F62" s="71" t="str">
        <f>IF('[1]371 Community Livestock Assets '!E65="","",'[1]371 Community Livestock Assets '!E65)</f>
        <v/>
      </c>
      <c r="G62" s="71" t="str">
        <f>IF('[1]371 Community Livestock Assets '!F65="","",'[1]371 Community Livestock Assets '!F65)</f>
        <v/>
      </c>
      <c r="H62" s="71" t="str">
        <f>IF('[1]371 Community Livestock Assets '!G65="","",'[1]371 Community Livestock Assets '!G65)</f>
        <v/>
      </c>
      <c r="I62" s="71" t="str">
        <f>IF('[1]371 Community Livestock Assets '!H65="","",'[1]371 Community Livestock Assets '!H65)</f>
        <v/>
      </c>
      <c r="J62" s="71" t="str">
        <f>IF('[1]371 Community Livestock Assets '!I65="","",'[1]371 Community Livestock Assets '!I65)</f>
        <v/>
      </c>
      <c r="K62" s="71" t="str">
        <f>IF('[1]371 Community Livestock Assets '!J65="","",'[1]371 Community Livestock Assets '!J65)</f>
        <v/>
      </c>
      <c r="L62" s="71" t="str">
        <f>IF('[1]371 Community Livestock Assets '!K65="","",'[1]371 Community Livestock Assets '!K65)</f>
        <v/>
      </c>
      <c r="M62" s="71" t="str">
        <f>IF('[1]371 Community Livestock Assets '!L65="","",'[1]371 Community Livestock Assets '!L65)</f>
        <v/>
      </c>
      <c r="N62" s="71" t="str">
        <f>IF('[1]371 Community Livestock Assets '!M65="","",'[1]371 Community Livestock Assets '!M65)</f>
        <v/>
      </c>
      <c r="O62" s="71" t="str">
        <f>IF('[1]371 Community Livestock Assets '!N65="","",'[1]371 Community Livestock Assets '!N65)</f>
        <v/>
      </c>
      <c r="P62" s="71" t="str">
        <f>IF('[1]371 Community Livestock Assets '!O65="","",'[1]371 Community Livestock Assets '!O65)</f>
        <v/>
      </c>
      <c r="Q62" s="71" t="str">
        <f>IF('[1]371 Community Livestock Assets '!P65="","",'[1]371 Community Livestock Assets '!P65)</f>
        <v/>
      </c>
      <c r="R62" s="71" t="str">
        <f>IF('[1]371 Community Livestock Assets '!Q65="","",'[1]371 Community Livestock Assets '!Q65)</f>
        <v/>
      </c>
      <c r="S62" s="71" t="str">
        <f>IF('[1]371 Community Livestock Assets '!R65="","",'[1]371 Community Livestock Assets '!R65)</f>
        <v/>
      </c>
      <c r="T62" s="71" t="str">
        <f>IF('[1]371 Community Livestock Assets '!S65="","",'[1]371 Community Livestock Assets '!S65)</f>
        <v/>
      </c>
      <c r="U62" s="71" t="str">
        <f>IF('[1]371 Community Livestock Assets '!T65="","",'[1]371 Community Livestock Assets '!T65)</f>
        <v/>
      </c>
      <c r="V62" s="71" t="str">
        <f>IF('[1]371 Community Livestock Assets '!U65="","",'[1]371 Community Livestock Assets '!U65)</f>
        <v/>
      </c>
      <c r="W62" s="71" t="str">
        <f>IF('[1]371 Community Livestock Assets '!V65="","",'[1]371 Community Livestock Assets '!V65)</f>
        <v/>
      </c>
      <c r="X62" s="71" t="str">
        <f>IF('[1]371 Community Livestock Assets '!W65="","",'[1]371 Community Livestock Assets '!W65)</f>
        <v/>
      </c>
      <c r="Y62" s="71" t="str">
        <f>IF('[1]371 Community Livestock Assets '!X65="","",'[1]371 Community Livestock Assets '!X65)</f>
        <v/>
      </c>
      <c r="Z62" s="71" t="str">
        <f>IF('[1]371 Community Livestock Assets '!Y65="","",'[1]371 Community Livestock Assets '!Y65)</f>
        <v/>
      </c>
      <c r="AA62" s="71" t="str">
        <f>IF('[1]371 Community Livestock Assets '!Z65="","",'[1]371 Community Livestock Assets '!Z65)</f>
        <v/>
      </c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</row>
    <row r="63" spans="1:53" s="39" customFormat="1" ht="17" hidden="1" customHeight="1">
      <c r="A63" s="50"/>
      <c r="B63" s="93" t="str">
        <f>IF('[1]371 Community Livestock Assets '!B65=0," ",'[1]371 Community Livestock Assets '!B65)</f>
        <v xml:space="preserve"> </v>
      </c>
      <c r="C63" s="93" t="str">
        <f>IF('[1]371 Community Livestock Assets '!C66=0," ",'[1]371 Community Livestock Assets '!C66)</f>
        <v xml:space="preserve"> </v>
      </c>
      <c r="D63" s="88" t="str">
        <f t="shared" si="3"/>
        <v xml:space="preserve"> </v>
      </c>
      <c r="E63" s="71" t="str">
        <f>IF('[1]371 Community Livestock Assets '!D66="","",'[1]371 Community Livestock Assets '!D66)</f>
        <v/>
      </c>
      <c r="F63" s="71" t="str">
        <f>IF('[1]371 Community Livestock Assets '!E66="","",'[1]371 Community Livestock Assets '!E66)</f>
        <v/>
      </c>
      <c r="G63" s="71" t="str">
        <f>IF('[1]371 Community Livestock Assets '!F66="","",'[1]371 Community Livestock Assets '!F66)</f>
        <v/>
      </c>
      <c r="H63" s="71" t="str">
        <f>IF('[1]371 Community Livestock Assets '!G66="","",'[1]371 Community Livestock Assets '!G66)</f>
        <v/>
      </c>
      <c r="I63" s="71" t="str">
        <f>IF('[1]371 Community Livestock Assets '!H66="","",'[1]371 Community Livestock Assets '!H66)</f>
        <v/>
      </c>
      <c r="J63" s="71" t="str">
        <f>IF('[1]371 Community Livestock Assets '!I66="","",'[1]371 Community Livestock Assets '!I66)</f>
        <v/>
      </c>
      <c r="K63" s="71" t="str">
        <f>IF('[1]371 Community Livestock Assets '!J66="","",'[1]371 Community Livestock Assets '!J66)</f>
        <v/>
      </c>
      <c r="L63" s="71" t="str">
        <f>IF('[1]371 Community Livestock Assets '!K66="","",'[1]371 Community Livestock Assets '!K66)</f>
        <v/>
      </c>
      <c r="M63" s="71" t="str">
        <f>IF('[1]371 Community Livestock Assets '!L66="","",'[1]371 Community Livestock Assets '!L66)</f>
        <v/>
      </c>
      <c r="N63" s="71" t="str">
        <f>IF('[1]371 Community Livestock Assets '!M66="","",'[1]371 Community Livestock Assets '!M66)</f>
        <v/>
      </c>
      <c r="O63" s="71" t="str">
        <f>IF('[1]371 Community Livestock Assets '!N66="","",'[1]371 Community Livestock Assets '!N66)</f>
        <v/>
      </c>
      <c r="P63" s="71" t="str">
        <f>IF('[1]371 Community Livestock Assets '!O66="","",'[1]371 Community Livestock Assets '!O66)</f>
        <v/>
      </c>
      <c r="Q63" s="71" t="str">
        <f>IF('[1]371 Community Livestock Assets '!P66="","",'[1]371 Community Livestock Assets '!P66)</f>
        <v/>
      </c>
      <c r="R63" s="71" t="str">
        <f>IF('[1]371 Community Livestock Assets '!Q66="","",'[1]371 Community Livestock Assets '!Q66)</f>
        <v/>
      </c>
      <c r="S63" s="71" t="str">
        <f>IF('[1]371 Community Livestock Assets '!R66="","",'[1]371 Community Livestock Assets '!R66)</f>
        <v/>
      </c>
      <c r="T63" s="71" t="str">
        <f>IF('[1]371 Community Livestock Assets '!S66="","",'[1]371 Community Livestock Assets '!S66)</f>
        <v/>
      </c>
      <c r="U63" s="71" t="str">
        <f>IF('[1]371 Community Livestock Assets '!T66="","",'[1]371 Community Livestock Assets '!T66)</f>
        <v/>
      </c>
      <c r="V63" s="71" t="str">
        <f>IF('[1]371 Community Livestock Assets '!U66="","",'[1]371 Community Livestock Assets '!U66)</f>
        <v/>
      </c>
      <c r="W63" s="71" t="str">
        <f>IF('[1]371 Community Livestock Assets '!V66="","",'[1]371 Community Livestock Assets '!V66)</f>
        <v/>
      </c>
      <c r="X63" s="71" t="str">
        <f>IF('[1]371 Community Livestock Assets '!W66="","",'[1]371 Community Livestock Assets '!W66)</f>
        <v/>
      </c>
      <c r="Y63" s="71" t="str">
        <f>IF('[1]371 Community Livestock Assets '!X66="","",'[1]371 Community Livestock Assets '!X66)</f>
        <v/>
      </c>
      <c r="Z63" s="71" t="str">
        <f>IF('[1]371 Community Livestock Assets '!Y66="","",'[1]371 Community Livestock Assets '!Y66)</f>
        <v/>
      </c>
      <c r="AA63" s="71" t="str">
        <f>IF('[1]371 Community Livestock Assets '!Z66="","",'[1]371 Community Livestock Assets '!Z66)</f>
        <v/>
      </c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</row>
    <row r="64" spans="1:53" s="39" customFormat="1" ht="17" hidden="1" customHeight="1">
      <c r="A64" s="50"/>
      <c r="B64" s="93" t="str">
        <f>IF('[1]371 Community Livestock Assets '!B66=0," ",'[1]371 Community Livestock Assets '!B66)</f>
        <v xml:space="preserve"> </v>
      </c>
      <c r="C64" s="93" t="str">
        <f>IF('[1]371 Community Livestock Assets '!C67=0," ",'[1]371 Community Livestock Assets '!C67)</f>
        <v xml:space="preserve"> </v>
      </c>
      <c r="D64" s="88" t="str">
        <f t="shared" si="3"/>
        <v xml:space="preserve"> </v>
      </c>
      <c r="E64" s="71" t="str">
        <f>IF('[1]371 Community Livestock Assets '!D67="","",'[1]371 Community Livestock Assets '!D67)</f>
        <v/>
      </c>
      <c r="F64" s="71" t="str">
        <f>IF('[1]371 Community Livestock Assets '!E67="","",'[1]371 Community Livestock Assets '!E67)</f>
        <v/>
      </c>
      <c r="G64" s="71" t="str">
        <f>IF('[1]371 Community Livestock Assets '!F67="","",'[1]371 Community Livestock Assets '!F67)</f>
        <v/>
      </c>
      <c r="H64" s="71" t="str">
        <f>IF('[1]371 Community Livestock Assets '!G67="","",'[1]371 Community Livestock Assets '!G67)</f>
        <v/>
      </c>
      <c r="I64" s="71" t="str">
        <f>IF('[1]371 Community Livestock Assets '!H67="","",'[1]371 Community Livestock Assets '!H67)</f>
        <v/>
      </c>
      <c r="J64" s="71" t="str">
        <f>IF('[1]371 Community Livestock Assets '!I67="","",'[1]371 Community Livestock Assets '!I67)</f>
        <v/>
      </c>
      <c r="K64" s="71" t="str">
        <f>IF('[1]371 Community Livestock Assets '!J67="","",'[1]371 Community Livestock Assets '!J67)</f>
        <v/>
      </c>
      <c r="L64" s="71" t="str">
        <f>IF('[1]371 Community Livestock Assets '!K67="","",'[1]371 Community Livestock Assets '!K67)</f>
        <v/>
      </c>
      <c r="M64" s="71" t="str">
        <f>IF('[1]371 Community Livestock Assets '!L67="","",'[1]371 Community Livestock Assets '!L67)</f>
        <v/>
      </c>
      <c r="N64" s="71" t="str">
        <f>IF('[1]371 Community Livestock Assets '!M67="","",'[1]371 Community Livestock Assets '!M67)</f>
        <v/>
      </c>
      <c r="O64" s="71" t="str">
        <f>IF('[1]371 Community Livestock Assets '!N67="","",'[1]371 Community Livestock Assets '!N67)</f>
        <v/>
      </c>
      <c r="P64" s="71" t="str">
        <f>IF('[1]371 Community Livestock Assets '!O67="","",'[1]371 Community Livestock Assets '!O67)</f>
        <v/>
      </c>
      <c r="Q64" s="71" t="str">
        <f>IF('[1]371 Community Livestock Assets '!P67="","",'[1]371 Community Livestock Assets '!P67)</f>
        <v/>
      </c>
      <c r="R64" s="71" t="str">
        <f>IF('[1]371 Community Livestock Assets '!Q67="","",'[1]371 Community Livestock Assets '!Q67)</f>
        <v/>
      </c>
      <c r="S64" s="71" t="str">
        <f>IF('[1]371 Community Livestock Assets '!R67="","",'[1]371 Community Livestock Assets '!R67)</f>
        <v/>
      </c>
      <c r="T64" s="71" t="str">
        <f>IF('[1]371 Community Livestock Assets '!S67="","",'[1]371 Community Livestock Assets '!S67)</f>
        <v/>
      </c>
      <c r="U64" s="71" t="str">
        <f>IF('[1]371 Community Livestock Assets '!T67="","",'[1]371 Community Livestock Assets '!T67)</f>
        <v/>
      </c>
      <c r="V64" s="71" t="str">
        <f>IF('[1]371 Community Livestock Assets '!U67="","",'[1]371 Community Livestock Assets '!U67)</f>
        <v/>
      </c>
      <c r="W64" s="71" t="str">
        <f>IF('[1]371 Community Livestock Assets '!V67="","",'[1]371 Community Livestock Assets '!V67)</f>
        <v/>
      </c>
      <c r="X64" s="71" t="str">
        <f>IF('[1]371 Community Livestock Assets '!W67="","",'[1]371 Community Livestock Assets '!W67)</f>
        <v/>
      </c>
      <c r="Y64" s="71" t="str">
        <f>IF('[1]371 Community Livestock Assets '!X67="","",'[1]371 Community Livestock Assets '!X67)</f>
        <v/>
      </c>
      <c r="Z64" s="71" t="str">
        <f>IF('[1]371 Community Livestock Assets '!Y67="","",'[1]371 Community Livestock Assets '!Y67)</f>
        <v/>
      </c>
      <c r="AA64" s="71" t="str">
        <f>IF('[1]371 Community Livestock Assets '!Z67="","",'[1]371 Community Livestock Assets '!Z67)</f>
        <v/>
      </c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</row>
    <row r="65" spans="1:53" s="39" customFormat="1" ht="17" hidden="1" customHeight="1">
      <c r="A65" s="50"/>
      <c r="B65" s="93" t="str">
        <f>IF('[1]371 Community Livestock Assets '!B67=0," ",'[1]371 Community Livestock Assets '!B67)</f>
        <v xml:space="preserve"> </v>
      </c>
      <c r="C65" s="93" t="str">
        <f>IF('[1]371 Community Livestock Assets '!C68=0," ",'[1]371 Community Livestock Assets '!C68)</f>
        <v xml:space="preserve"> </v>
      </c>
      <c r="D65" s="88" t="str">
        <f t="shared" si="3"/>
        <v xml:space="preserve"> </v>
      </c>
      <c r="E65" s="71" t="str">
        <f>IF('[1]371 Community Livestock Assets '!D68="","",'[1]371 Community Livestock Assets '!D68)</f>
        <v/>
      </c>
      <c r="F65" s="71" t="str">
        <f>IF('[1]371 Community Livestock Assets '!E68="","",'[1]371 Community Livestock Assets '!E68)</f>
        <v/>
      </c>
      <c r="G65" s="71" t="str">
        <f>IF('[1]371 Community Livestock Assets '!F68="","",'[1]371 Community Livestock Assets '!F68)</f>
        <v/>
      </c>
      <c r="H65" s="71" t="str">
        <f>IF('[1]371 Community Livestock Assets '!G68="","",'[1]371 Community Livestock Assets '!G68)</f>
        <v/>
      </c>
      <c r="I65" s="71" t="str">
        <f>IF('[1]371 Community Livestock Assets '!H68="","",'[1]371 Community Livestock Assets '!H68)</f>
        <v/>
      </c>
      <c r="J65" s="71" t="str">
        <f>IF('[1]371 Community Livestock Assets '!I68="","",'[1]371 Community Livestock Assets '!I68)</f>
        <v/>
      </c>
      <c r="K65" s="71" t="str">
        <f>IF('[1]371 Community Livestock Assets '!J68="","",'[1]371 Community Livestock Assets '!J68)</f>
        <v/>
      </c>
      <c r="L65" s="71" t="str">
        <f>IF('[1]371 Community Livestock Assets '!K68="","",'[1]371 Community Livestock Assets '!K68)</f>
        <v/>
      </c>
      <c r="M65" s="71" t="str">
        <f>IF('[1]371 Community Livestock Assets '!L68="","",'[1]371 Community Livestock Assets '!L68)</f>
        <v/>
      </c>
      <c r="N65" s="71" t="str">
        <f>IF('[1]371 Community Livestock Assets '!M68="","",'[1]371 Community Livestock Assets '!M68)</f>
        <v/>
      </c>
      <c r="O65" s="71" t="str">
        <f>IF('[1]371 Community Livestock Assets '!N68="","",'[1]371 Community Livestock Assets '!N68)</f>
        <v/>
      </c>
      <c r="P65" s="71" t="str">
        <f>IF('[1]371 Community Livestock Assets '!O68="","",'[1]371 Community Livestock Assets '!O68)</f>
        <v/>
      </c>
      <c r="Q65" s="71" t="str">
        <f>IF('[1]371 Community Livestock Assets '!P68="","",'[1]371 Community Livestock Assets '!P68)</f>
        <v/>
      </c>
      <c r="R65" s="71" t="str">
        <f>IF('[1]371 Community Livestock Assets '!Q68="","",'[1]371 Community Livestock Assets '!Q68)</f>
        <v/>
      </c>
      <c r="S65" s="71" t="str">
        <f>IF('[1]371 Community Livestock Assets '!R68="","",'[1]371 Community Livestock Assets '!R68)</f>
        <v/>
      </c>
      <c r="T65" s="71" t="str">
        <f>IF('[1]371 Community Livestock Assets '!S68="","",'[1]371 Community Livestock Assets '!S68)</f>
        <v/>
      </c>
      <c r="U65" s="71" t="str">
        <f>IF('[1]371 Community Livestock Assets '!T68="","",'[1]371 Community Livestock Assets '!T68)</f>
        <v/>
      </c>
      <c r="V65" s="71" t="str">
        <f>IF('[1]371 Community Livestock Assets '!U68="","",'[1]371 Community Livestock Assets '!U68)</f>
        <v/>
      </c>
      <c r="W65" s="71" t="str">
        <f>IF('[1]371 Community Livestock Assets '!V68="","",'[1]371 Community Livestock Assets '!V68)</f>
        <v/>
      </c>
      <c r="X65" s="71" t="str">
        <f>IF('[1]371 Community Livestock Assets '!W68="","",'[1]371 Community Livestock Assets '!W68)</f>
        <v/>
      </c>
      <c r="Y65" s="71" t="str">
        <f>IF('[1]371 Community Livestock Assets '!X68="","",'[1]371 Community Livestock Assets '!X68)</f>
        <v/>
      </c>
      <c r="Z65" s="71" t="str">
        <f>IF('[1]371 Community Livestock Assets '!Y68="","",'[1]371 Community Livestock Assets '!Y68)</f>
        <v/>
      </c>
      <c r="AA65" s="71" t="str">
        <f>IF('[1]371 Community Livestock Assets '!Z68="","",'[1]371 Community Livestock Assets '!Z68)</f>
        <v/>
      </c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</row>
    <row r="66" spans="1:53" s="39" customFormat="1" ht="17" hidden="1" customHeight="1">
      <c r="A66" s="50"/>
      <c r="B66" s="93" t="str">
        <f>IF('[1]371 Community Livestock Assets '!B68=0," ",'[1]371 Community Livestock Assets '!B68)</f>
        <v xml:space="preserve"> </v>
      </c>
      <c r="C66" s="93" t="str">
        <f>IF('[1]371 Community Livestock Assets '!C69=0," ",'[1]371 Community Livestock Assets '!C69)</f>
        <v xml:space="preserve"> </v>
      </c>
      <c r="D66" s="88" t="str">
        <f t="shared" si="3"/>
        <v xml:space="preserve"> </v>
      </c>
      <c r="E66" s="71" t="str">
        <f>IF('[1]371 Community Livestock Assets '!D69="","",'[1]371 Community Livestock Assets '!D69)</f>
        <v/>
      </c>
      <c r="F66" s="71" t="str">
        <f>IF('[1]371 Community Livestock Assets '!E69="","",'[1]371 Community Livestock Assets '!E69)</f>
        <v/>
      </c>
      <c r="G66" s="71" t="str">
        <f>IF('[1]371 Community Livestock Assets '!F69="","",'[1]371 Community Livestock Assets '!F69)</f>
        <v/>
      </c>
      <c r="H66" s="71" t="str">
        <f>IF('[1]371 Community Livestock Assets '!G69="","",'[1]371 Community Livestock Assets '!G69)</f>
        <v/>
      </c>
      <c r="I66" s="71" t="str">
        <f>IF('[1]371 Community Livestock Assets '!H69="","",'[1]371 Community Livestock Assets '!H69)</f>
        <v/>
      </c>
      <c r="J66" s="71" t="str">
        <f>IF('[1]371 Community Livestock Assets '!I69="","",'[1]371 Community Livestock Assets '!I69)</f>
        <v/>
      </c>
      <c r="K66" s="71" t="str">
        <f>IF('[1]371 Community Livestock Assets '!J69="","",'[1]371 Community Livestock Assets '!J69)</f>
        <v/>
      </c>
      <c r="L66" s="71" t="str">
        <f>IF('[1]371 Community Livestock Assets '!K69="","",'[1]371 Community Livestock Assets '!K69)</f>
        <v/>
      </c>
      <c r="M66" s="71" t="str">
        <f>IF('[1]371 Community Livestock Assets '!L69="","",'[1]371 Community Livestock Assets '!L69)</f>
        <v/>
      </c>
      <c r="N66" s="71" t="str">
        <f>IF('[1]371 Community Livestock Assets '!M69="","",'[1]371 Community Livestock Assets '!M69)</f>
        <v/>
      </c>
      <c r="O66" s="71" t="str">
        <f>IF('[1]371 Community Livestock Assets '!N69="","",'[1]371 Community Livestock Assets '!N69)</f>
        <v/>
      </c>
      <c r="P66" s="71" t="str">
        <f>IF('[1]371 Community Livestock Assets '!O69="","",'[1]371 Community Livestock Assets '!O69)</f>
        <v/>
      </c>
      <c r="Q66" s="71" t="str">
        <f>IF('[1]371 Community Livestock Assets '!P69="","",'[1]371 Community Livestock Assets '!P69)</f>
        <v/>
      </c>
      <c r="R66" s="71" t="str">
        <f>IF('[1]371 Community Livestock Assets '!Q69="","",'[1]371 Community Livestock Assets '!Q69)</f>
        <v/>
      </c>
      <c r="S66" s="71" t="str">
        <f>IF('[1]371 Community Livestock Assets '!R69="","",'[1]371 Community Livestock Assets '!R69)</f>
        <v/>
      </c>
      <c r="T66" s="71" t="str">
        <f>IF('[1]371 Community Livestock Assets '!S69="","",'[1]371 Community Livestock Assets '!S69)</f>
        <v/>
      </c>
      <c r="U66" s="71" t="str">
        <f>IF('[1]371 Community Livestock Assets '!T69="","",'[1]371 Community Livestock Assets '!T69)</f>
        <v/>
      </c>
      <c r="V66" s="71" t="str">
        <f>IF('[1]371 Community Livestock Assets '!U69="","",'[1]371 Community Livestock Assets '!U69)</f>
        <v/>
      </c>
      <c r="W66" s="71" t="str">
        <f>IF('[1]371 Community Livestock Assets '!V69="","",'[1]371 Community Livestock Assets '!V69)</f>
        <v/>
      </c>
      <c r="X66" s="71" t="str">
        <f>IF('[1]371 Community Livestock Assets '!W69="","",'[1]371 Community Livestock Assets '!W69)</f>
        <v/>
      </c>
      <c r="Y66" s="71" t="str">
        <f>IF('[1]371 Community Livestock Assets '!X69="","",'[1]371 Community Livestock Assets '!X69)</f>
        <v/>
      </c>
      <c r="Z66" s="71" t="str">
        <f>IF('[1]371 Community Livestock Assets '!Y69="","",'[1]371 Community Livestock Assets '!Y69)</f>
        <v/>
      </c>
      <c r="AA66" s="71" t="str">
        <f>IF('[1]371 Community Livestock Assets '!Z69="","",'[1]371 Community Livestock Assets '!Z69)</f>
        <v/>
      </c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</row>
    <row r="67" spans="1:53" s="39" customFormat="1" ht="17" hidden="1" customHeight="1">
      <c r="A67" s="50"/>
      <c r="B67" s="93" t="str">
        <f>IF('[1]371 Community Livestock Assets '!B69=0," ",'[1]371 Community Livestock Assets '!B69)</f>
        <v xml:space="preserve"> </v>
      </c>
      <c r="C67" s="93" t="str">
        <f>IF('[1]371 Community Livestock Assets '!C70=0," ",'[1]371 Community Livestock Assets '!C70)</f>
        <v xml:space="preserve"> </v>
      </c>
      <c r="D67" s="88" t="str">
        <f t="shared" si="3"/>
        <v xml:space="preserve"> </v>
      </c>
      <c r="E67" s="71" t="str">
        <f>IF('[1]371 Community Livestock Assets '!D70="","",'[1]371 Community Livestock Assets '!D70)</f>
        <v/>
      </c>
      <c r="F67" s="71" t="str">
        <f>IF('[1]371 Community Livestock Assets '!E70="","",'[1]371 Community Livestock Assets '!E70)</f>
        <v/>
      </c>
      <c r="G67" s="71" t="str">
        <f>IF('[1]371 Community Livestock Assets '!F70="","",'[1]371 Community Livestock Assets '!F70)</f>
        <v/>
      </c>
      <c r="H67" s="71" t="str">
        <f>IF('[1]371 Community Livestock Assets '!G70="","",'[1]371 Community Livestock Assets '!G70)</f>
        <v/>
      </c>
      <c r="I67" s="71" t="str">
        <f>IF('[1]371 Community Livestock Assets '!H70="","",'[1]371 Community Livestock Assets '!H70)</f>
        <v/>
      </c>
      <c r="J67" s="71" t="str">
        <f>IF('[1]371 Community Livestock Assets '!I70="","",'[1]371 Community Livestock Assets '!I70)</f>
        <v/>
      </c>
      <c r="K67" s="71" t="str">
        <f>IF('[1]371 Community Livestock Assets '!J70="","",'[1]371 Community Livestock Assets '!J70)</f>
        <v/>
      </c>
      <c r="L67" s="71" t="str">
        <f>IF('[1]371 Community Livestock Assets '!K70="","",'[1]371 Community Livestock Assets '!K70)</f>
        <v/>
      </c>
      <c r="M67" s="71" t="str">
        <f>IF('[1]371 Community Livestock Assets '!L70="","",'[1]371 Community Livestock Assets '!L70)</f>
        <v/>
      </c>
      <c r="N67" s="71" t="str">
        <f>IF('[1]371 Community Livestock Assets '!M70="","",'[1]371 Community Livestock Assets '!M70)</f>
        <v/>
      </c>
      <c r="O67" s="71" t="str">
        <f>IF('[1]371 Community Livestock Assets '!N70="","",'[1]371 Community Livestock Assets '!N70)</f>
        <v/>
      </c>
      <c r="P67" s="71" t="str">
        <f>IF('[1]371 Community Livestock Assets '!O70="","",'[1]371 Community Livestock Assets '!O70)</f>
        <v/>
      </c>
      <c r="Q67" s="71" t="str">
        <f>IF('[1]371 Community Livestock Assets '!P70="","",'[1]371 Community Livestock Assets '!P70)</f>
        <v/>
      </c>
      <c r="R67" s="71" t="str">
        <f>IF('[1]371 Community Livestock Assets '!Q70="","",'[1]371 Community Livestock Assets '!Q70)</f>
        <v/>
      </c>
      <c r="S67" s="71" t="str">
        <f>IF('[1]371 Community Livestock Assets '!R70="","",'[1]371 Community Livestock Assets '!R70)</f>
        <v/>
      </c>
      <c r="T67" s="71" t="str">
        <f>IF('[1]371 Community Livestock Assets '!S70="","",'[1]371 Community Livestock Assets '!S70)</f>
        <v/>
      </c>
      <c r="U67" s="71" t="str">
        <f>IF('[1]371 Community Livestock Assets '!T70="","",'[1]371 Community Livestock Assets '!T70)</f>
        <v/>
      </c>
      <c r="V67" s="71" t="str">
        <f>IF('[1]371 Community Livestock Assets '!U70="","",'[1]371 Community Livestock Assets '!U70)</f>
        <v/>
      </c>
      <c r="W67" s="71" t="str">
        <f>IF('[1]371 Community Livestock Assets '!V70="","",'[1]371 Community Livestock Assets '!V70)</f>
        <v/>
      </c>
      <c r="X67" s="71" t="str">
        <f>IF('[1]371 Community Livestock Assets '!W70="","",'[1]371 Community Livestock Assets '!W70)</f>
        <v/>
      </c>
      <c r="Y67" s="71" t="str">
        <f>IF('[1]371 Community Livestock Assets '!X70="","",'[1]371 Community Livestock Assets '!X70)</f>
        <v/>
      </c>
      <c r="Z67" s="71" t="str">
        <f>IF('[1]371 Community Livestock Assets '!Y70="","",'[1]371 Community Livestock Assets '!Y70)</f>
        <v/>
      </c>
      <c r="AA67" s="71" t="str">
        <f>IF('[1]371 Community Livestock Assets '!Z70="","",'[1]371 Community Livestock Assets '!Z70)</f>
        <v/>
      </c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</row>
    <row r="68" spans="1:53" s="39" customFormat="1" ht="17" hidden="1" customHeight="1">
      <c r="A68" s="50"/>
      <c r="B68" s="93" t="str">
        <f>IF('[1]371 Community Livestock Assets '!B70=0," ",'[1]371 Community Livestock Assets '!B70)</f>
        <v xml:space="preserve"> </v>
      </c>
      <c r="C68" s="93" t="str">
        <f>IF('[1]371 Community Livestock Assets '!C71=0," ",'[1]371 Community Livestock Assets '!C71)</f>
        <v xml:space="preserve"> </v>
      </c>
      <c r="D68" s="88" t="str">
        <f t="shared" si="3"/>
        <v xml:space="preserve"> </v>
      </c>
      <c r="E68" s="71" t="str">
        <f>IF('[1]371 Community Livestock Assets '!D71="","",'[1]371 Community Livestock Assets '!D71)</f>
        <v/>
      </c>
      <c r="F68" s="71" t="str">
        <f>IF('[1]371 Community Livestock Assets '!E71="","",'[1]371 Community Livestock Assets '!E71)</f>
        <v/>
      </c>
      <c r="G68" s="71" t="str">
        <f>IF('[1]371 Community Livestock Assets '!F71="","",'[1]371 Community Livestock Assets '!F71)</f>
        <v/>
      </c>
      <c r="H68" s="71" t="str">
        <f>IF('[1]371 Community Livestock Assets '!G71="","",'[1]371 Community Livestock Assets '!G71)</f>
        <v/>
      </c>
      <c r="I68" s="71" t="str">
        <f>IF('[1]371 Community Livestock Assets '!H71="","",'[1]371 Community Livestock Assets '!H71)</f>
        <v/>
      </c>
      <c r="J68" s="71" t="str">
        <f>IF('[1]371 Community Livestock Assets '!I71="","",'[1]371 Community Livestock Assets '!I71)</f>
        <v/>
      </c>
      <c r="K68" s="71" t="str">
        <f>IF('[1]371 Community Livestock Assets '!J71="","",'[1]371 Community Livestock Assets '!J71)</f>
        <v/>
      </c>
      <c r="L68" s="71" t="str">
        <f>IF('[1]371 Community Livestock Assets '!K71="","",'[1]371 Community Livestock Assets '!K71)</f>
        <v/>
      </c>
      <c r="M68" s="71" t="str">
        <f>IF('[1]371 Community Livestock Assets '!L71="","",'[1]371 Community Livestock Assets '!L71)</f>
        <v/>
      </c>
      <c r="N68" s="71" t="str">
        <f>IF('[1]371 Community Livestock Assets '!M71="","",'[1]371 Community Livestock Assets '!M71)</f>
        <v/>
      </c>
      <c r="O68" s="71" t="str">
        <f>IF('[1]371 Community Livestock Assets '!N71="","",'[1]371 Community Livestock Assets '!N71)</f>
        <v/>
      </c>
      <c r="P68" s="71" t="str">
        <f>IF('[1]371 Community Livestock Assets '!O71="","",'[1]371 Community Livestock Assets '!O71)</f>
        <v/>
      </c>
      <c r="Q68" s="71" t="str">
        <f>IF('[1]371 Community Livestock Assets '!P71="","",'[1]371 Community Livestock Assets '!P71)</f>
        <v/>
      </c>
      <c r="R68" s="71" t="str">
        <f>IF('[1]371 Community Livestock Assets '!Q71="","",'[1]371 Community Livestock Assets '!Q71)</f>
        <v/>
      </c>
      <c r="S68" s="71" t="str">
        <f>IF('[1]371 Community Livestock Assets '!R71="","",'[1]371 Community Livestock Assets '!R71)</f>
        <v/>
      </c>
      <c r="T68" s="71" t="str">
        <f>IF('[1]371 Community Livestock Assets '!S71="","",'[1]371 Community Livestock Assets '!S71)</f>
        <v/>
      </c>
      <c r="U68" s="71" t="str">
        <f>IF('[1]371 Community Livestock Assets '!T71="","",'[1]371 Community Livestock Assets '!T71)</f>
        <v/>
      </c>
      <c r="V68" s="71" t="str">
        <f>IF('[1]371 Community Livestock Assets '!U71="","",'[1]371 Community Livestock Assets '!U71)</f>
        <v/>
      </c>
      <c r="W68" s="71" t="str">
        <f>IF('[1]371 Community Livestock Assets '!V71="","",'[1]371 Community Livestock Assets '!V71)</f>
        <v/>
      </c>
      <c r="X68" s="71" t="str">
        <f>IF('[1]371 Community Livestock Assets '!W71="","",'[1]371 Community Livestock Assets '!W71)</f>
        <v/>
      </c>
      <c r="Y68" s="71" t="str">
        <f>IF('[1]371 Community Livestock Assets '!X71="","",'[1]371 Community Livestock Assets '!X71)</f>
        <v/>
      </c>
      <c r="Z68" s="71" t="str">
        <f>IF('[1]371 Community Livestock Assets '!Y71="","",'[1]371 Community Livestock Assets '!Y71)</f>
        <v/>
      </c>
      <c r="AA68" s="71" t="str">
        <f>IF('[1]371 Community Livestock Assets '!Z71="","",'[1]371 Community Livestock Assets '!Z71)</f>
        <v/>
      </c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</row>
    <row r="69" spans="1:53" s="39" customFormat="1" ht="17" hidden="1" customHeight="1">
      <c r="A69" s="50"/>
      <c r="B69" s="93" t="str">
        <f>IF('[1]371 Community Livestock Assets '!B71=0," ",'[1]371 Community Livestock Assets '!B71)</f>
        <v xml:space="preserve"> </v>
      </c>
      <c r="C69" s="93" t="str">
        <f>IF('[1]371 Community Livestock Assets '!C72=0," ",'[1]371 Community Livestock Assets '!C72)</f>
        <v xml:space="preserve"> </v>
      </c>
      <c r="D69" s="88" t="str">
        <f t="shared" si="3"/>
        <v xml:space="preserve"> </v>
      </c>
      <c r="E69" s="71" t="str">
        <f>IF('[1]371 Community Livestock Assets '!D72="","",'[1]371 Community Livestock Assets '!D72)</f>
        <v/>
      </c>
      <c r="F69" s="71" t="str">
        <f>IF('[1]371 Community Livestock Assets '!E72="","",'[1]371 Community Livestock Assets '!E72)</f>
        <v/>
      </c>
      <c r="G69" s="71" t="str">
        <f>IF('[1]371 Community Livestock Assets '!F72="","",'[1]371 Community Livestock Assets '!F72)</f>
        <v/>
      </c>
      <c r="H69" s="71" t="str">
        <f>IF('[1]371 Community Livestock Assets '!G72="","",'[1]371 Community Livestock Assets '!G72)</f>
        <v/>
      </c>
      <c r="I69" s="71" t="str">
        <f>IF('[1]371 Community Livestock Assets '!H72="","",'[1]371 Community Livestock Assets '!H72)</f>
        <v/>
      </c>
      <c r="J69" s="71" t="str">
        <f>IF('[1]371 Community Livestock Assets '!I72="","",'[1]371 Community Livestock Assets '!I72)</f>
        <v/>
      </c>
      <c r="K69" s="71" t="str">
        <f>IF('[1]371 Community Livestock Assets '!J72="","",'[1]371 Community Livestock Assets '!J72)</f>
        <v/>
      </c>
      <c r="L69" s="71" t="str">
        <f>IF('[1]371 Community Livestock Assets '!K72="","",'[1]371 Community Livestock Assets '!K72)</f>
        <v/>
      </c>
      <c r="M69" s="71" t="str">
        <f>IF('[1]371 Community Livestock Assets '!L72="","",'[1]371 Community Livestock Assets '!L72)</f>
        <v/>
      </c>
      <c r="N69" s="71" t="str">
        <f>IF('[1]371 Community Livestock Assets '!M72="","",'[1]371 Community Livestock Assets '!M72)</f>
        <v/>
      </c>
      <c r="O69" s="71" t="str">
        <f>IF('[1]371 Community Livestock Assets '!N72="","",'[1]371 Community Livestock Assets '!N72)</f>
        <v/>
      </c>
      <c r="P69" s="71" t="str">
        <f>IF('[1]371 Community Livestock Assets '!O72="","",'[1]371 Community Livestock Assets '!O72)</f>
        <v/>
      </c>
      <c r="Q69" s="71" t="str">
        <f>IF('[1]371 Community Livestock Assets '!P72="","",'[1]371 Community Livestock Assets '!P72)</f>
        <v/>
      </c>
      <c r="R69" s="71" t="str">
        <f>IF('[1]371 Community Livestock Assets '!Q72="","",'[1]371 Community Livestock Assets '!Q72)</f>
        <v/>
      </c>
      <c r="S69" s="71" t="str">
        <f>IF('[1]371 Community Livestock Assets '!R72="","",'[1]371 Community Livestock Assets '!R72)</f>
        <v/>
      </c>
      <c r="T69" s="71" t="str">
        <f>IF('[1]371 Community Livestock Assets '!S72="","",'[1]371 Community Livestock Assets '!S72)</f>
        <v/>
      </c>
      <c r="U69" s="71" t="str">
        <f>IF('[1]371 Community Livestock Assets '!T72="","",'[1]371 Community Livestock Assets '!T72)</f>
        <v/>
      </c>
      <c r="V69" s="71" t="str">
        <f>IF('[1]371 Community Livestock Assets '!U72="","",'[1]371 Community Livestock Assets '!U72)</f>
        <v/>
      </c>
      <c r="W69" s="71" t="str">
        <f>IF('[1]371 Community Livestock Assets '!V72="","",'[1]371 Community Livestock Assets '!V72)</f>
        <v/>
      </c>
      <c r="X69" s="71" t="str">
        <f>IF('[1]371 Community Livestock Assets '!W72="","",'[1]371 Community Livestock Assets '!W72)</f>
        <v/>
      </c>
      <c r="Y69" s="71" t="str">
        <f>IF('[1]371 Community Livestock Assets '!X72="","",'[1]371 Community Livestock Assets '!X72)</f>
        <v/>
      </c>
      <c r="Z69" s="71" t="str">
        <f>IF('[1]371 Community Livestock Assets '!Y72="","",'[1]371 Community Livestock Assets '!Y72)</f>
        <v/>
      </c>
      <c r="AA69" s="71" t="str">
        <f>IF('[1]371 Community Livestock Assets '!Z72="","",'[1]371 Community Livestock Assets '!Z72)</f>
        <v/>
      </c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</row>
    <row r="70" spans="1:53" s="39" customFormat="1" ht="17" hidden="1" customHeight="1">
      <c r="A70" s="50"/>
      <c r="B70" s="93" t="str">
        <f>IF('[1]371 Community Livestock Assets '!B72=0," ",'[1]371 Community Livestock Assets '!B72)</f>
        <v xml:space="preserve"> </v>
      </c>
      <c r="C70" s="93" t="str">
        <f>IF('[1]371 Community Livestock Assets '!C73=0," ",'[1]371 Community Livestock Assets '!C73)</f>
        <v xml:space="preserve"> </v>
      </c>
      <c r="D70" s="88" t="str">
        <f t="shared" si="3"/>
        <v xml:space="preserve"> </v>
      </c>
      <c r="E70" s="71" t="str">
        <f>IF('[1]371 Community Livestock Assets '!D73="","",'[1]371 Community Livestock Assets '!D73)</f>
        <v/>
      </c>
      <c r="F70" s="71" t="str">
        <f>IF('[1]371 Community Livestock Assets '!E73="","",'[1]371 Community Livestock Assets '!E73)</f>
        <v/>
      </c>
      <c r="G70" s="71" t="str">
        <f>IF('[1]371 Community Livestock Assets '!F73="","",'[1]371 Community Livestock Assets '!F73)</f>
        <v/>
      </c>
      <c r="H70" s="71" t="str">
        <f>IF('[1]371 Community Livestock Assets '!G73="","",'[1]371 Community Livestock Assets '!G73)</f>
        <v/>
      </c>
      <c r="I70" s="71" t="str">
        <f>IF('[1]371 Community Livestock Assets '!H73="","",'[1]371 Community Livestock Assets '!H73)</f>
        <v/>
      </c>
      <c r="J70" s="71" t="str">
        <f>IF('[1]371 Community Livestock Assets '!I73="","",'[1]371 Community Livestock Assets '!I73)</f>
        <v/>
      </c>
      <c r="K70" s="71" t="str">
        <f>IF('[1]371 Community Livestock Assets '!J73="","",'[1]371 Community Livestock Assets '!J73)</f>
        <v/>
      </c>
      <c r="L70" s="71" t="str">
        <f>IF('[1]371 Community Livestock Assets '!K73="","",'[1]371 Community Livestock Assets '!K73)</f>
        <v/>
      </c>
      <c r="M70" s="71" t="str">
        <f>IF('[1]371 Community Livestock Assets '!L73="","",'[1]371 Community Livestock Assets '!L73)</f>
        <v/>
      </c>
      <c r="N70" s="71" t="str">
        <f>IF('[1]371 Community Livestock Assets '!M73="","",'[1]371 Community Livestock Assets '!M73)</f>
        <v/>
      </c>
      <c r="O70" s="71" t="str">
        <f>IF('[1]371 Community Livestock Assets '!N73="","",'[1]371 Community Livestock Assets '!N73)</f>
        <v/>
      </c>
      <c r="P70" s="71" t="str">
        <f>IF('[1]371 Community Livestock Assets '!O73="","",'[1]371 Community Livestock Assets '!O73)</f>
        <v/>
      </c>
      <c r="Q70" s="71" t="str">
        <f>IF('[1]371 Community Livestock Assets '!P73="","",'[1]371 Community Livestock Assets '!P73)</f>
        <v/>
      </c>
      <c r="R70" s="71" t="str">
        <f>IF('[1]371 Community Livestock Assets '!Q73="","",'[1]371 Community Livestock Assets '!Q73)</f>
        <v/>
      </c>
      <c r="S70" s="71" t="str">
        <f>IF('[1]371 Community Livestock Assets '!R73="","",'[1]371 Community Livestock Assets '!R73)</f>
        <v/>
      </c>
      <c r="T70" s="71" t="str">
        <f>IF('[1]371 Community Livestock Assets '!S73="","",'[1]371 Community Livestock Assets '!S73)</f>
        <v/>
      </c>
      <c r="U70" s="71" t="str">
        <f>IF('[1]371 Community Livestock Assets '!T73="","",'[1]371 Community Livestock Assets '!T73)</f>
        <v/>
      </c>
      <c r="V70" s="71" t="str">
        <f>IF('[1]371 Community Livestock Assets '!U73="","",'[1]371 Community Livestock Assets '!U73)</f>
        <v/>
      </c>
      <c r="W70" s="71" t="str">
        <f>IF('[1]371 Community Livestock Assets '!V73="","",'[1]371 Community Livestock Assets '!V73)</f>
        <v/>
      </c>
      <c r="X70" s="71" t="str">
        <f>IF('[1]371 Community Livestock Assets '!W73="","",'[1]371 Community Livestock Assets '!W73)</f>
        <v/>
      </c>
      <c r="Y70" s="71" t="str">
        <f>IF('[1]371 Community Livestock Assets '!X73="","",'[1]371 Community Livestock Assets '!X73)</f>
        <v/>
      </c>
      <c r="Z70" s="71" t="str">
        <f>IF('[1]371 Community Livestock Assets '!Y73="","",'[1]371 Community Livestock Assets '!Y73)</f>
        <v/>
      </c>
      <c r="AA70" s="71" t="str">
        <f>IF('[1]371 Community Livestock Assets '!Z73="","",'[1]371 Community Livestock Assets '!Z73)</f>
        <v/>
      </c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</row>
    <row r="71" spans="1:53" s="39" customFormat="1" ht="17" hidden="1" customHeight="1">
      <c r="A71" s="50"/>
      <c r="B71" s="93" t="str">
        <f>IF('[1]371 Community Livestock Assets '!B73=0," ",'[1]371 Community Livestock Assets '!B73)</f>
        <v xml:space="preserve"> </v>
      </c>
      <c r="C71" s="93" t="str">
        <f>IF('[1]371 Community Livestock Assets '!C74=0," ",'[1]371 Community Livestock Assets '!C74)</f>
        <v xml:space="preserve"> </v>
      </c>
      <c r="D71" s="88" t="str">
        <f t="shared" si="3"/>
        <v xml:space="preserve"> </v>
      </c>
      <c r="E71" s="71" t="str">
        <f>IF('[1]371 Community Livestock Assets '!D74="","",'[1]371 Community Livestock Assets '!D74)</f>
        <v/>
      </c>
      <c r="F71" s="71" t="str">
        <f>IF('[1]371 Community Livestock Assets '!E74="","",'[1]371 Community Livestock Assets '!E74)</f>
        <v/>
      </c>
      <c r="G71" s="71" t="str">
        <f>IF('[1]371 Community Livestock Assets '!F74="","",'[1]371 Community Livestock Assets '!F74)</f>
        <v/>
      </c>
      <c r="H71" s="71" t="str">
        <f>IF('[1]371 Community Livestock Assets '!G74="","",'[1]371 Community Livestock Assets '!G74)</f>
        <v/>
      </c>
      <c r="I71" s="71" t="str">
        <f>IF('[1]371 Community Livestock Assets '!H74="","",'[1]371 Community Livestock Assets '!H74)</f>
        <v/>
      </c>
      <c r="J71" s="71" t="str">
        <f>IF('[1]371 Community Livestock Assets '!I74="","",'[1]371 Community Livestock Assets '!I74)</f>
        <v/>
      </c>
      <c r="K71" s="71" t="str">
        <f>IF('[1]371 Community Livestock Assets '!J74="","",'[1]371 Community Livestock Assets '!J74)</f>
        <v/>
      </c>
      <c r="L71" s="71" t="str">
        <f>IF('[1]371 Community Livestock Assets '!K74="","",'[1]371 Community Livestock Assets '!K74)</f>
        <v/>
      </c>
      <c r="M71" s="71" t="str">
        <f>IF('[1]371 Community Livestock Assets '!L74="","",'[1]371 Community Livestock Assets '!L74)</f>
        <v/>
      </c>
      <c r="N71" s="71" t="str">
        <f>IF('[1]371 Community Livestock Assets '!M74="","",'[1]371 Community Livestock Assets '!M74)</f>
        <v/>
      </c>
      <c r="O71" s="71" t="str">
        <f>IF('[1]371 Community Livestock Assets '!N74="","",'[1]371 Community Livestock Assets '!N74)</f>
        <v/>
      </c>
      <c r="P71" s="71" t="str">
        <f>IF('[1]371 Community Livestock Assets '!O74="","",'[1]371 Community Livestock Assets '!O74)</f>
        <v/>
      </c>
      <c r="Q71" s="71" t="str">
        <f>IF('[1]371 Community Livestock Assets '!P74="","",'[1]371 Community Livestock Assets '!P74)</f>
        <v/>
      </c>
      <c r="R71" s="71" t="str">
        <f>IF('[1]371 Community Livestock Assets '!Q74="","",'[1]371 Community Livestock Assets '!Q74)</f>
        <v/>
      </c>
      <c r="S71" s="71" t="str">
        <f>IF('[1]371 Community Livestock Assets '!R74="","",'[1]371 Community Livestock Assets '!R74)</f>
        <v/>
      </c>
      <c r="T71" s="71" t="str">
        <f>IF('[1]371 Community Livestock Assets '!S74="","",'[1]371 Community Livestock Assets '!S74)</f>
        <v/>
      </c>
      <c r="U71" s="71" t="str">
        <f>IF('[1]371 Community Livestock Assets '!T74="","",'[1]371 Community Livestock Assets '!T74)</f>
        <v/>
      </c>
      <c r="V71" s="71" t="str">
        <f>IF('[1]371 Community Livestock Assets '!U74="","",'[1]371 Community Livestock Assets '!U74)</f>
        <v/>
      </c>
      <c r="W71" s="71" t="str">
        <f>IF('[1]371 Community Livestock Assets '!V74="","",'[1]371 Community Livestock Assets '!V74)</f>
        <v/>
      </c>
      <c r="X71" s="71" t="str">
        <f>IF('[1]371 Community Livestock Assets '!W74="","",'[1]371 Community Livestock Assets '!W74)</f>
        <v/>
      </c>
      <c r="Y71" s="71" t="str">
        <f>IF('[1]371 Community Livestock Assets '!X74="","",'[1]371 Community Livestock Assets '!X74)</f>
        <v/>
      </c>
      <c r="Z71" s="71" t="str">
        <f>IF('[1]371 Community Livestock Assets '!Y74="","",'[1]371 Community Livestock Assets '!Y74)</f>
        <v/>
      </c>
      <c r="AA71" s="71" t="str">
        <f>IF('[1]371 Community Livestock Assets '!Z74="","",'[1]371 Community Livestock Assets '!Z74)</f>
        <v/>
      </c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</row>
    <row r="72" spans="1:53" s="39" customFormat="1" ht="17" hidden="1" customHeight="1">
      <c r="A72" s="50"/>
      <c r="B72" s="93" t="str">
        <f>IF('[1]371 Community Livestock Assets '!B74=0," ",'[1]371 Community Livestock Assets '!B74)</f>
        <v xml:space="preserve"> </v>
      </c>
      <c r="C72" s="93" t="str">
        <f>IF('[1]371 Community Livestock Assets '!C75=0," ",'[1]371 Community Livestock Assets '!C75)</f>
        <v xml:space="preserve"> </v>
      </c>
      <c r="D72" s="88" t="str">
        <f t="shared" ref="D72:D99" si="4">IF(B72&lt;&gt;" ",CONCATENATE(C72,"      ",B72),C72)</f>
        <v xml:space="preserve"> </v>
      </c>
      <c r="E72" s="71" t="str">
        <f>IF('[1]371 Community Livestock Assets '!D75="","",'[1]371 Community Livestock Assets '!D75)</f>
        <v/>
      </c>
      <c r="F72" s="71" t="str">
        <f>IF('[1]371 Community Livestock Assets '!E75="","",'[1]371 Community Livestock Assets '!E75)</f>
        <v/>
      </c>
      <c r="G72" s="71" t="str">
        <f>IF('[1]371 Community Livestock Assets '!F75="","",'[1]371 Community Livestock Assets '!F75)</f>
        <v/>
      </c>
      <c r="H72" s="71" t="str">
        <f>IF('[1]371 Community Livestock Assets '!G75="","",'[1]371 Community Livestock Assets '!G75)</f>
        <v/>
      </c>
      <c r="I72" s="71" t="str">
        <f>IF('[1]371 Community Livestock Assets '!H75="","",'[1]371 Community Livestock Assets '!H75)</f>
        <v/>
      </c>
      <c r="J72" s="71" t="str">
        <f>IF('[1]371 Community Livestock Assets '!I75="","",'[1]371 Community Livestock Assets '!I75)</f>
        <v/>
      </c>
      <c r="K72" s="71" t="str">
        <f>IF('[1]371 Community Livestock Assets '!J75="","",'[1]371 Community Livestock Assets '!J75)</f>
        <v/>
      </c>
      <c r="L72" s="71" t="str">
        <f>IF('[1]371 Community Livestock Assets '!K75="","",'[1]371 Community Livestock Assets '!K75)</f>
        <v/>
      </c>
      <c r="M72" s="71" t="str">
        <f>IF('[1]371 Community Livestock Assets '!L75="","",'[1]371 Community Livestock Assets '!L75)</f>
        <v/>
      </c>
      <c r="N72" s="71" t="str">
        <f>IF('[1]371 Community Livestock Assets '!M75="","",'[1]371 Community Livestock Assets '!M75)</f>
        <v/>
      </c>
      <c r="O72" s="71" t="str">
        <f>IF('[1]371 Community Livestock Assets '!N75="","",'[1]371 Community Livestock Assets '!N75)</f>
        <v/>
      </c>
      <c r="P72" s="71" t="str">
        <f>IF('[1]371 Community Livestock Assets '!O75="","",'[1]371 Community Livestock Assets '!O75)</f>
        <v/>
      </c>
      <c r="Q72" s="71" t="str">
        <f>IF('[1]371 Community Livestock Assets '!P75="","",'[1]371 Community Livestock Assets '!P75)</f>
        <v/>
      </c>
      <c r="R72" s="71" t="str">
        <f>IF('[1]371 Community Livestock Assets '!Q75="","",'[1]371 Community Livestock Assets '!Q75)</f>
        <v/>
      </c>
      <c r="S72" s="71" t="str">
        <f>IF('[1]371 Community Livestock Assets '!R75="","",'[1]371 Community Livestock Assets '!R75)</f>
        <v/>
      </c>
      <c r="T72" s="71" t="str">
        <f>IF('[1]371 Community Livestock Assets '!S75="","",'[1]371 Community Livestock Assets '!S75)</f>
        <v/>
      </c>
      <c r="U72" s="71" t="str">
        <f>IF('[1]371 Community Livestock Assets '!T75="","",'[1]371 Community Livestock Assets '!T75)</f>
        <v/>
      </c>
      <c r="V72" s="71" t="str">
        <f>IF('[1]371 Community Livestock Assets '!U75="","",'[1]371 Community Livestock Assets '!U75)</f>
        <v/>
      </c>
      <c r="W72" s="71" t="str">
        <f>IF('[1]371 Community Livestock Assets '!V75="","",'[1]371 Community Livestock Assets '!V75)</f>
        <v/>
      </c>
      <c r="X72" s="71" t="str">
        <f>IF('[1]371 Community Livestock Assets '!W75="","",'[1]371 Community Livestock Assets '!W75)</f>
        <v/>
      </c>
      <c r="Y72" s="71" t="str">
        <f>IF('[1]371 Community Livestock Assets '!X75="","",'[1]371 Community Livestock Assets '!X75)</f>
        <v/>
      </c>
      <c r="Z72" s="71" t="str">
        <f>IF('[1]371 Community Livestock Assets '!Y75="","",'[1]371 Community Livestock Assets '!Y75)</f>
        <v/>
      </c>
      <c r="AA72" s="71" t="str">
        <f>IF('[1]371 Community Livestock Assets '!Z75="","",'[1]371 Community Livestock Assets '!Z75)</f>
        <v/>
      </c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</row>
    <row r="73" spans="1:53" s="39" customFormat="1" ht="17" hidden="1" customHeight="1">
      <c r="A73" s="50"/>
      <c r="B73" s="93" t="str">
        <f>IF('[1]371 Community Livestock Assets '!B75=0," ",'[1]371 Community Livestock Assets '!B75)</f>
        <v xml:space="preserve"> </v>
      </c>
      <c r="C73" s="93" t="str">
        <f>IF('[1]371 Community Livestock Assets '!C76=0," ",'[1]371 Community Livestock Assets '!C76)</f>
        <v xml:space="preserve"> </v>
      </c>
      <c r="D73" s="88" t="str">
        <f t="shared" si="4"/>
        <v xml:space="preserve"> </v>
      </c>
      <c r="E73" s="71" t="str">
        <f>IF('[1]371 Community Livestock Assets '!D76="","",'[1]371 Community Livestock Assets '!D76)</f>
        <v/>
      </c>
      <c r="F73" s="71" t="str">
        <f>IF('[1]371 Community Livestock Assets '!E76="","",'[1]371 Community Livestock Assets '!E76)</f>
        <v/>
      </c>
      <c r="G73" s="71" t="str">
        <f>IF('[1]371 Community Livestock Assets '!F76="","",'[1]371 Community Livestock Assets '!F76)</f>
        <v/>
      </c>
      <c r="H73" s="71" t="str">
        <f>IF('[1]371 Community Livestock Assets '!G76="","",'[1]371 Community Livestock Assets '!G76)</f>
        <v/>
      </c>
      <c r="I73" s="71" t="str">
        <f>IF('[1]371 Community Livestock Assets '!H76="","",'[1]371 Community Livestock Assets '!H76)</f>
        <v/>
      </c>
      <c r="J73" s="71" t="str">
        <f>IF('[1]371 Community Livestock Assets '!I76="","",'[1]371 Community Livestock Assets '!I76)</f>
        <v/>
      </c>
      <c r="K73" s="71" t="str">
        <f>IF('[1]371 Community Livestock Assets '!J76="","",'[1]371 Community Livestock Assets '!J76)</f>
        <v/>
      </c>
      <c r="L73" s="71" t="str">
        <f>IF('[1]371 Community Livestock Assets '!K76="","",'[1]371 Community Livestock Assets '!K76)</f>
        <v/>
      </c>
      <c r="M73" s="71" t="str">
        <f>IF('[1]371 Community Livestock Assets '!L76="","",'[1]371 Community Livestock Assets '!L76)</f>
        <v/>
      </c>
      <c r="N73" s="71" t="str">
        <f>IF('[1]371 Community Livestock Assets '!M76="","",'[1]371 Community Livestock Assets '!M76)</f>
        <v/>
      </c>
      <c r="O73" s="71" t="str">
        <f>IF('[1]371 Community Livestock Assets '!N76="","",'[1]371 Community Livestock Assets '!N76)</f>
        <v/>
      </c>
      <c r="P73" s="71" t="str">
        <f>IF('[1]371 Community Livestock Assets '!O76="","",'[1]371 Community Livestock Assets '!O76)</f>
        <v/>
      </c>
      <c r="Q73" s="71" t="str">
        <f>IF('[1]371 Community Livestock Assets '!P76="","",'[1]371 Community Livestock Assets '!P76)</f>
        <v/>
      </c>
      <c r="R73" s="71" t="str">
        <f>IF('[1]371 Community Livestock Assets '!Q76="","",'[1]371 Community Livestock Assets '!Q76)</f>
        <v/>
      </c>
      <c r="S73" s="71" t="str">
        <f>IF('[1]371 Community Livestock Assets '!R76="","",'[1]371 Community Livestock Assets '!R76)</f>
        <v/>
      </c>
      <c r="T73" s="71" t="str">
        <f>IF('[1]371 Community Livestock Assets '!S76="","",'[1]371 Community Livestock Assets '!S76)</f>
        <v/>
      </c>
      <c r="U73" s="71" t="str">
        <f>IF('[1]371 Community Livestock Assets '!T76="","",'[1]371 Community Livestock Assets '!T76)</f>
        <v/>
      </c>
      <c r="V73" s="71" t="str">
        <f>IF('[1]371 Community Livestock Assets '!U76="","",'[1]371 Community Livestock Assets '!U76)</f>
        <v/>
      </c>
      <c r="W73" s="71" t="str">
        <f>IF('[1]371 Community Livestock Assets '!V76="","",'[1]371 Community Livestock Assets '!V76)</f>
        <v/>
      </c>
      <c r="X73" s="71" t="str">
        <f>IF('[1]371 Community Livestock Assets '!W76="","",'[1]371 Community Livestock Assets '!W76)</f>
        <v/>
      </c>
      <c r="Y73" s="71" t="str">
        <f>IF('[1]371 Community Livestock Assets '!X76="","",'[1]371 Community Livestock Assets '!X76)</f>
        <v/>
      </c>
      <c r="Z73" s="71" t="str">
        <f>IF('[1]371 Community Livestock Assets '!Y76="","",'[1]371 Community Livestock Assets '!Y76)</f>
        <v/>
      </c>
      <c r="AA73" s="71" t="str">
        <f>IF('[1]371 Community Livestock Assets '!Z76="","",'[1]371 Community Livestock Assets '!Z76)</f>
        <v/>
      </c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</row>
    <row r="74" spans="1:53" s="39" customFormat="1" ht="17" hidden="1" customHeight="1">
      <c r="A74" s="50"/>
      <c r="B74" s="93" t="str">
        <f>IF('[1]371 Community Livestock Assets '!B76=0," ",'[1]371 Community Livestock Assets '!B76)</f>
        <v xml:space="preserve"> </v>
      </c>
      <c r="C74" s="93" t="str">
        <f>IF('[1]371 Community Livestock Assets '!C77=0," ",'[1]371 Community Livestock Assets '!C77)</f>
        <v xml:space="preserve"> </v>
      </c>
      <c r="D74" s="88" t="str">
        <f t="shared" si="4"/>
        <v xml:space="preserve"> </v>
      </c>
      <c r="E74" s="71" t="str">
        <f>IF('[1]371 Community Livestock Assets '!D77="","",'[1]371 Community Livestock Assets '!D77)</f>
        <v/>
      </c>
      <c r="F74" s="71" t="str">
        <f>IF('[1]371 Community Livestock Assets '!E77="","",'[1]371 Community Livestock Assets '!E77)</f>
        <v/>
      </c>
      <c r="G74" s="71" t="str">
        <f>IF('[1]371 Community Livestock Assets '!F77="","",'[1]371 Community Livestock Assets '!F77)</f>
        <v/>
      </c>
      <c r="H74" s="71" t="str">
        <f>IF('[1]371 Community Livestock Assets '!G77="","",'[1]371 Community Livestock Assets '!G77)</f>
        <v/>
      </c>
      <c r="I74" s="71" t="str">
        <f>IF('[1]371 Community Livestock Assets '!H77="","",'[1]371 Community Livestock Assets '!H77)</f>
        <v/>
      </c>
      <c r="J74" s="71" t="str">
        <f>IF('[1]371 Community Livestock Assets '!I77="","",'[1]371 Community Livestock Assets '!I77)</f>
        <v/>
      </c>
      <c r="K74" s="71" t="str">
        <f>IF('[1]371 Community Livestock Assets '!J77="","",'[1]371 Community Livestock Assets '!J77)</f>
        <v/>
      </c>
      <c r="L74" s="71" t="str">
        <f>IF('[1]371 Community Livestock Assets '!K77="","",'[1]371 Community Livestock Assets '!K77)</f>
        <v/>
      </c>
      <c r="M74" s="71" t="str">
        <f>IF('[1]371 Community Livestock Assets '!L77="","",'[1]371 Community Livestock Assets '!L77)</f>
        <v/>
      </c>
      <c r="N74" s="71" t="str">
        <f>IF('[1]371 Community Livestock Assets '!M77="","",'[1]371 Community Livestock Assets '!M77)</f>
        <v/>
      </c>
      <c r="O74" s="71" t="str">
        <f>IF('[1]371 Community Livestock Assets '!N77="","",'[1]371 Community Livestock Assets '!N77)</f>
        <v/>
      </c>
      <c r="P74" s="71" t="str">
        <f>IF('[1]371 Community Livestock Assets '!O77="","",'[1]371 Community Livestock Assets '!O77)</f>
        <v/>
      </c>
      <c r="Q74" s="71" t="str">
        <f>IF('[1]371 Community Livestock Assets '!P77="","",'[1]371 Community Livestock Assets '!P77)</f>
        <v/>
      </c>
      <c r="R74" s="71" t="str">
        <f>IF('[1]371 Community Livestock Assets '!Q77="","",'[1]371 Community Livestock Assets '!Q77)</f>
        <v/>
      </c>
      <c r="S74" s="71" t="str">
        <f>IF('[1]371 Community Livestock Assets '!R77="","",'[1]371 Community Livestock Assets '!R77)</f>
        <v/>
      </c>
      <c r="T74" s="71" t="str">
        <f>IF('[1]371 Community Livestock Assets '!S77="","",'[1]371 Community Livestock Assets '!S77)</f>
        <v/>
      </c>
      <c r="U74" s="71" t="str">
        <f>IF('[1]371 Community Livestock Assets '!T77="","",'[1]371 Community Livestock Assets '!T77)</f>
        <v/>
      </c>
      <c r="V74" s="71" t="str">
        <f>IF('[1]371 Community Livestock Assets '!U77="","",'[1]371 Community Livestock Assets '!U77)</f>
        <v/>
      </c>
      <c r="W74" s="71" t="str">
        <f>IF('[1]371 Community Livestock Assets '!V77="","",'[1]371 Community Livestock Assets '!V77)</f>
        <v/>
      </c>
      <c r="X74" s="71" t="str">
        <f>IF('[1]371 Community Livestock Assets '!W77="","",'[1]371 Community Livestock Assets '!W77)</f>
        <v/>
      </c>
      <c r="Y74" s="71" t="str">
        <f>IF('[1]371 Community Livestock Assets '!X77="","",'[1]371 Community Livestock Assets '!X77)</f>
        <v/>
      </c>
      <c r="Z74" s="71" t="str">
        <f>IF('[1]371 Community Livestock Assets '!Y77="","",'[1]371 Community Livestock Assets '!Y77)</f>
        <v/>
      </c>
      <c r="AA74" s="71" t="str">
        <f>IF('[1]371 Community Livestock Assets '!Z77="","",'[1]371 Community Livestock Assets '!Z77)</f>
        <v/>
      </c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</row>
    <row r="75" spans="1:53" s="39" customFormat="1" ht="17" hidden="1" customHeight="1">
      <c r="A75" s="50"/>
      <c r="B75" s="93" t="str">
        <f>IF('[1]371 Community Livestock Assets '!B77=0," ",'[1]371 Community Livestock Assets '!B77)</f>
        <v xml:space="preserve"> </v>
      </c>
      <c r="C75" s="93" t="str">
        <f>IF('[1]371 Community Livestock Assets '!C78=0," ",'[1]371 Community Livestock Assets '!C78)</f>
        <v xml:space="preserve"> </v>
      </c>
      <c r="D75" s="88" t="str">
        <f t="shared" si="4"/>
        <v xml:space="preserve"> </v>
      </c>
      <c r="E75" s="71" t="str">
        <f>IF('[1]371 Community Livestock Assets '!D78="","",'[1]371 Community Livestock Assets '!D78)</f>
        <v/>
      </c>
      <c r="F75" s="71" t="str">
        <f>IF('[1]371 Community Livestock Assets '!E78="","",'[1]371 Community Livestock Assets '!E78)</f>
        <v/>
      </c>
      <c r="G75" s="71" t="str">
        <f>IF('[1]371 Community Livestock Assets '!F78="","",'[1]371 Community Livestock Assets '!F78)</f>
        <v/>
      </c>
      <c r="H75" s="71" t="str">
        <f>IF('[1]371 Community Livestock Assets '!G78="","",'[1]371 Community Livestock Assets '!G78)</f>
        <v/>
      </c>
      <c r="I75" s="71" t="str">
        <f>IF('[1]371 Community Livestock Assets '!H78="","",'[1]371 Community Livestock Assets '!H78)</f>
        <v/>
      </c>
      <c r="J75" s="71" t="str">
        <f>IF('[1]371 Community Livestock Assets '!I78="","",'[1]371 Community Livestock Assets '!I78)</f>
        <v/>
      </c>
      <c r="K75" s="71" t="str">
        <f>IF('[1]371 Community Livestock Assets '!J78="","",'[1]371 Community Livestock Assets '!J78)</f>
        <v/>
      </c>
      <c r="L75" s="71" t="str">
        <f>IF('[1]371 Community Livestock Assets '!K78="","",'[1]371 Community Livestock Assets '!K78)</f>
        <v/>
      </c>
      <c r="M75" s="71" t="str">
        <f>IF('[1]371 Community Livestock Assets '!L78="","",'[1]371 Community Livestock Assets '!L78)</f>
        <v/>
      </c>
      <c r="N75" s="71" t="str">
        <f>IF('[1]371 Community Livestock Assets '!M78="","",'[1]371 Community Livestock Assets '!M78)</f>
        <v/>
      </c>
      <c r="O75" s="71" t="str">
        <f>IF('[1]371 Community Livestock Assets '!N78="","",'[1]371 Community Livestock Assets '!N78)</f>
        <v/>
      </c>
      <c r="P75" s="71" t="str">
        <f>IF('[1]371 Community Livestock Assets '!O78="","",'[1]371 Community Livestock Assets '!O78)</f>
        <v/>
      </c>
      <c r="Q75" s="71" t="str">
        <f>IF('[1]371 Community Livestock Assets '!P78="","",'[1]371 Community Livestock Assets '!P78)</f>
        <v/>
      </c>
      <c r="R75" s="71" t="str">
        <f>IF('[1]371 Community Livestock Assets '!Q78="","",'[1]371 Community Livestock Assets '!Q78)</f>
        <v/>
      </c>
      <c r="S75" s="71" t="str">
        <f>IF('[1]371 Community Livestock Assets '!R78="","",'[1]371 Community Livestock Assets '!R78)</f>
        <v/>
      </c>
      <c r="T75" s="71" t="str">
        <f>IF('[1]371 Community Livestock Assets '!S78="","",'[1]371 Community Livestock Assets '!S78)</f>
        <v/>
      </c>
      <c r="U75" s="71" t="str">
        <f>IF('[1]371 Community Livestock Assets '!T78="","",'[1]371 Community Livestock Assets '!T78)</f>
        <v/>
      </c>
      <c r="V75" s="71" t="str">
        <f>IF('[1]371 Community Livestock Assets '!U78="","",'[1]371 Community Livestock Assets '!U78)</f>
        <v/>
      </c>
      <c r="W75" s="71" t="str">
        <f>IF('[1]371 Community Livestock Assets '!V78="","",'[1]371 Community Livestock Assets '!V78)</f>
        <v/>
      </c>
      <c r="X75" s="71" t="str">
        <f>IF('[1]371 Community Livestock Assets '!W78="","",'[1]371 Community Livestock Assets '!W78)</f>
        <v/>
      </c>
      <c r="Y75" s="71" t="str">
        <f>IF('[1]371 Community Livestock Assets '!X78="","",'[1]371 Community Livestock Assets '!X78)</f>
        <v/>
      </c>
      <c r="Z75" s="71" t="str">
        <f>IF('[1]371 Community Livestock Assets '!Y78="","",'[1]371 Community Livestock Assets '!Y78)</f>
        <v/>
      </c>
      <c r="AA75" s="71" t="str">
        <f>IF('[1]371 Community Livestock Assets '!Z78="","",'[1]371 Community Livestock Assets '!Z78)</f>
        <v/>
      </c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</row>
    <row r="76" spans="1:53" s="39" customFormat="1" ht="17" hidden="1" customHeight="1">
      <c r="A76" s="50"/>
      <c r="B76" s="93" t="str">
        <f>IF('[1]371 Community Livestock Assets '!B78=0," ",'[1]371 Community Livestock Assets '!B78)</f>
        <v xml:space="preserve"> </v>
      </c>
      <c r="C76" s="93" t="str">
        <f>IF('[1]371 Community Livestock Assets '!C79=0," ",'[1]371 Community Livestock Assets '!C79)</f>
        <v xml:space="preserve"> </v>
      </c>
      <c r="D76" s="88" t="str">
        <f t="shared" si="4"/>
        <v xml:space="preserve"> </v>
      </c>
      <c r="E76" s="71" t="str">
        <f>IF('[1]371 Community Livestock Assets '!D79="","",'[1]371 Community Livestock Assets '!D79)</f>
        <v/>
      </c>
      <c r="F76" s="71" t="str">
        <f>IF('[1]371 Community Livestock Assets '!E79="","",'[1]371 Community Livestock Assets '!E79)</f>
        <v/>
      </c>
      <c r="G76" s="71" t="str">
        <f>IF('[1]371 Community Livestock Assets '!F79="","",'[1]371 Community Livestock Assets '!F79)</f>
        <v/>
      </c>
      <c r="H76" s="71" t="str">
        <f>IF('[1]371 Community Livestock Assets '!G79="","",'[1]371 Community Livestock Assets '!G79)</f>
        <v/>
      </c>
      <c r="I76" s="71" t="str">
        <f>IF('[1]371 Community Livestock Assets '!H79="","",'[1]371 Community Livestock Assets '!H79)</f>
        <v/>
      </c>
      <c r="J76" s="71" t="str">
        <f>IF('[1]371 Community Livestock Assets '!I79="","",'[1]371 Community Livestock Assets '!I79)</f>
        <v/>
      </c>
      <c r="K76" s="71" t="str">
        <f>IF('[1]371 Community Livestock Assets '!J79="","",'[1]371 Community Livestock Assets '!J79)</f>
        <v/>
      </c>
      <c r="L76" s="71" t="str">
        <f>IF('[1]371 Community Livestock Assets '!K79="","",'[1]371 Community Livestock Assets '!K79)</f>
        <v/>
      </c>
      <c r="M76" s="71" t="str">
        <f>IF('[1]371 Community Livestock Assets '!L79="","",'[1]371 Community Livestock Assets '!L79)</f>
        <v/>
      </c>
      <c r="N76" s="71" t="str">
        <f>IF('[1]371 Community Livestock Assets '!M79="","",'[1]371 Community Livestock Assets '!M79)</f>
        <v/>
      </c>
      <c r="O76" s="71" t="str">
        <f>IF('[1]371 Community Livestock Assets '!N79="","",'[1]371 Community Livestock Assets '!N79)</f>
        <v/>
      </c>
      <c r="P76" s="71" t="str">
        <f>IF('[1]371 Community Livestock Assets '!O79="","",'[1]371 Community Livestock Assets '!O79)</f>
        <v/>
      </c>
      <c r="Q76" s="71" t="str">
        <f>IF('[1]371 Community Livestock Assets '!P79="","",'[1]371 Community Livestock Assets '!P79)</f>
        <v/>
      </c>
      <c r="R76" s="71" t="str">
        <f>IF('[1]371 Community Livestock Assets '!Q79="","",'[1]371 Community Livestock Assets '!Q79)</f>
        <v/>
      </c>
      <c r="S76" s="71" t="str">
        <f>IF('[1]371 Community Livestock Assets '!R79="","",'[1]371 Community Livestock Assets '!R79)</f>
        <v/>
      </c>
      <c r="T76" s="71" t="str">
        <f>IF('[1]371 Community Livestock Assets '!S79="","",'[1]371 Community Livestock Assets '!S79)</f>
        <v/>
      </c>
      <c r="U76" s="71" t="str">
        <f>IF('[1]371 Community Livestock Assets '!T79="","",'[1]371 Community Livestock Assets '!T79)</f>
        <v/>
      </c>
      <c r="V76" s="71" t="str">
        <f>IF('[1]371 Community Livestock Assets '!U79="","",'[1]371 Community Livestock Assets '!U79)</f>
        <v/>
      </c>
      <c r="W76" s="71" t="str">
        <f>IF('[1]371 Community Livestock Assets '!V79="","",'[1]371 Community Livestock Assets '!V79)</f>
        <v/>
      </c>
      <c r="X76" s="71" t="str">
        <f>IF('[1]371 Community Livestock Assets '!W79="","",'[1]371 Community Livestock Assets '!W79)</f>
        <v/>
      </c>
      <c r="Y76" s="71" t="str">
        <f>IF('[1]371 Community Livestock Assets '!X79="","",'[1]371 Community Livestock Assets '!X79)</f>
        <v/>
      </c>
      <c r="Z76" s="71" t="str">
        <f>IF('[1]371 Community Livestock Assets '!Y79="","",'[1]371 Community Livestock Assets '!Y79)</f>
        <v/>
      </c>
      <c r="AA76" s="71" t="str">
        <f>IF('[1]371 Community Livestock Assets '!Z79="","",'[1]371 Community Livestock Assets '!Z79)</f>
        <v/>
      </c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</row>
    <row r="77" spans="1:53" s="39" customFormat="1" ht="17" hidden="1" customHeight="1">
      <c r="A77" s="50"/>
      <c r="B77" s="93" t="str">
        <f>IF('[1]371 Community Livestock Assets '!B79=0," ",'[1]371 Community Livestock Assets '!B79)</f>
        <v xml:space="preserve"> </v>
      </c>
      <c r="C77" s="93" t="str">
        <f>IF('[1]371 Community Livestock Assets '!C80=0," ",'[1]371 Community Livestock Assets '!C80)</f>
        <v xml:space="preserve"> </v>
      </c>
      <c r="D77" s="88" t="str">
        <f t="shared" si="4"/>
        <v xml:space="preserve"> </v>
      </c>
      <c r="E77" s="71" t="str">
        <f>IF('[1]371 Community Livestock Assets '!D80="","",'[1]371 Community Livestock Assets '!D80)</f>
        <v/>
      </c>
      <c r="F77" s="71" t="str">
        <f>IF('[1]371 Community Livestock Assets '!E80="","",'[1]371 Community Livestock Assets '!E80)</f>
        <v/>
      </c>
      <c r="G77" s="71" t="str">
        <f>IF('[1]371 Community Livestock Assets '!F80="","",'[1]371 Community Livestock Assets '!F80)</f>
        <v/>
      </c>
      <c r="H77" s="71" t="str">
        <f>IF('[1]371 Community Livestock Assets '!G80="","",'[1]371 Community Livestock Assets '!G80)</f>
        <v/>
      </c>
      <c r="I77" s="71" t="str">
        <f>IF('[1]371 Community Livestock Assets '!H80="","",'[1]371 Community Livestock Assets '!H80)</f>
        <v/>
      </c>
      <c r="J77" s="71" t="str">
        <f>IF('[1]371 Community Livestock Assets '!I80="","",'[1]371 Community Livestock Assets '!I80)</f>
        <v/>
      </c>
      <c r="K77" s="71" t="str">
        <f>IF('[1]371 Community Livestock Assets '!J80="","",'[1]371 Community Livestock Assets '!J80)</f>
        <v/>
      </c>
      <c r="L77" s="71" t="str">
        <f>IF('[1]371 Community Livestock Assets '!K80="","",'[1]371 Community Livestock Assets '!K80)</f>
        <v/>
      </c>
      <c r="M77" s="71" t="str">
        <f>IF('[1]371 Community Livestock Assets '!L80="","",'[1]371 Community Livestock Assets '!L80)</f>
        <v/>
      </c>
      <c r="N77" s="71" t="str">
        <f>IF('[1]371 Community Livestock Assets '!M80="","",'[1]371 Community Livestock Assets '!M80)</f>
        <v/>
      </c>
      <c r="O77" s="71" t="str">
        <f>IF('[1]371 Community Livestock Assets '!N80="","",'[1]371 Community Livestock Assets '!N80)</f>
        <v/>
      </c>
      <c r="P77" s="71" t="str">
        <f>IF('[1]371 Community Livestock Assets '!O80="","",'[1]371 Community Livestock Assets '!O80)</f>
        <v/>
      </c>
      <c r="Q77" s="71" t="str">
        <f>IF('[1]371 Community Livestock Assets '!P80="","",'[1]371 Community Livestock Assets '!P80)</f>
        <v/>
      </c>
      <c r="R77" s="71" t="str">
        <f>IF('[1]371 Community Livestock Assets '!Q80="","",'[1]371 Community Livestock Assets '!Q80)</f>
        <v/>
      </c>
      <c r="S77" s="71" t="str">
        <f>IF('[1]371 Community Livestock Assets '!R80="","",'[1]371 Community Livestock Assets '!R80)</f>
        <v/>
      </c>
      <c r="T77" s="71" t="str">
        <f>IF('[1]371 Community Livestock Assets '!S80="","",'[1]371 Community Livestock Assets '!S80)</f>
        <v/>
      </c>
      <c r="U77" s="71" t="str">
        <f>IF('[1]371 Community Livestock Assets '!T80="","",'[1]371 Community Livestock Assets '!T80)</f>
        <v/>
      </c>
      <c r="V77" s="71" t="str">
        <f>IF('[1]371 Community Livestock Assets '!U80="","",'[1]371 Community Livestock Assets '!U80)</f>
        <v/>
      </c>
      <c r="W77" s="71" t="str">
        <f>IF('[1]371 Community Livestock Assets '!V80="","",'[1]371 Community Livestock Assets '!V80)</f>
        <v/>
      </c>
      <c r="X77" s="71" t="str">
        <f>IF('[1]371 Community Livestock Assets '!W80="","",'[1]371 Community Livestock Assets '!W80)</f>
        <v/>
      </c>
      <c r="Y77" s="71" t="str">
        <f>IF('[1]371 Community Livestock Assets '!X80="","",'[1]371 Community Livestock Assets '!X80)</f>
        <v/>
      </c>
      <c r="Z77" s="71" t="str">
        <f>IF('[1]371 Community Livestock Assets '!Y80="","",'[1]371 Community Livestock Assets '!Y80)</f>
        <v/>
      </c>
      <c r="AA77" s="71" t="str">
        <f>IF('[1]371 Community Livestock Assets '!Z80="","",'[1]371 Community Livestock Assets '!Z80)</f>
        <v/>
      </c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</row>
    <row r="78" spans="1:53" s="39" customFormat="1" ht="17" hidden="1" customHeight="1">
      <c r="A78" s="50"/>
      <c r="B78" s="93" t="str">
        <f>IF('[1]371 Community Livestock Assets '!B80=0," ",'[1]371 Community Livestock Assets '!B80)</f>
        <v xml:space="preserve"> </v>
      </c>
      <c r="C78" s="93" t="str">
        <f>IF('[1]371 Community Livestock Assets '!C81=0," ",'[1]371 Community Livestock Assets '!C81)</f>
        <v xml:space="preserve"> </v>
      </c>
      <c r="D78" s="88" t="str">
        <f t="shared" si="4"/>
        <v xml:space="preserve"> </v>
      </c>
      <c r="E78" s="71" t="str">
        <f>IF('[1]371 Community Livestock Assets '!D81="","",'[1]371 Community Livestock Assets '!D81)</f>
        <v/>
      </c>
      <c r="F78" s="71" t="str">
        <f>IF('[1]371 Community Livestock Assets '!E81="","",'[1]371 Community Livestock Assets '!E81)</f>
        <v/>
      </c>
      <c r="G78" s="71" t="str">
        <f>IF('[1]371 Community Livestock Assets '!F81="","",'[1]371 Community Livestock Assets '!F81)</f>
        <v/>
      </c>
      <c r="H78" s="71" t="str">
        <f>IF('[1]371 Community Livestock Assets '!G81="","",'[1]371 Community Livestock Assets '!G81)</f>
        <v/>
      </c>
      <c r="I78" s="71" t="str">
        <f>IF('[1]371 Community Livestock Assets '!H81="","",'[1]371 Community Livestock Assets '!H81)</f>
        <v/>
      </c>
      <c r="J78" s="71" t="str">
        <f>IF('[1]371 Community Livestock Assets '!I81="","",'[1]371 Community Livestock Assets '!I81)</f>
        <v/>
      </c>
      <c r="K78" s="71" t="str">
        <f>IF('[1]371 Community Livestock Assets '!J81="","",'[1]371 Community Livestock Assets '!J81)</f>
        <v/>
      </c>
      <c r="L78" s="71" t="str">
        <f>IF('[1]371 Community Livestock Assets '!K81="","",'[1]371 Community Livestock Assets '!K81)</f>
        <v/>
      </c>
      <c r="M78" s="71" t="str">
        <f>IF('[1]371 Community Livestock Assets '!L81="","",'[1]371 Community Livestock Assets '!L81)</f>
        <v/>
      </c>
      <c r="N78" s="71" t="str">
        <f>IF('[1]371 Community Livestock Assets '!M81="","",'[1]371 Community Livestock Assets '!M81)</f>
        <v/>
      </c>
      <c r="O78" s="71" t="str">
        <f>IF('[1]371 Community Livestock Assets '!N81="","",'[1]371 Community Livestock Assets '!N81)</f>
        <v/>
      </c>
      <c r="P78" s="71" t="str">
        <f>IF('[1]371 Community Livestock Assets '!O81="","",'[1]371 Community Livestock Assets '!O81)</f>
        <v/>
      </c>
      <c r="Q78" s="71" t="str">
        <f>IF('[1]371 Community Livestock Assets '!P81="","",'[1]371 Community Livestock Assets '!P81)</f>
        <v/>
      </c>
      <c r="R78" s="71" t="str">
        <f>IF('[1]371 Community Livestock Assets '!Q81="","",'[1]371 Community Livestock Assets '!Q81)</f>
        <v/>
      </c>
      <c r="S78" s="71" t="str">
        <f>IF('[1]371 Community Livestock Assets '!R81="","",'[1]371 Community Livestock Assets '!R81)</f>
        <v/>
      </c>
      <c r="T78" s="71" t="str">
        <f>IF('[1]371 Community Livestock Assets '!S81="","",'[1]371 Community Livestock Assets '!S81)</f>
        <v/>
      </c>
      <c r="U78" s="71" t="str">
        <f>IF('[1]371 Community Livestock Assets '!T81="","",'[1]371 Community Livestock Assets '!T81)</f>
        <v/>
      </c>
      <c r="V78" s="71" t="str">
        <f>IF('[1]371 Community Livestock Assets '!U81="","",'[1]371 Community Livestock Assets '!U81)</f>
        <v/>
      </c>
      <c r="W78" s="71" t="str">
        <f>IF('[1]371 Community Livestock Assets '!V81="","",'[1]371 Community Livestock Assets '!V81)</f>
        <v/>
      </c>
      <c r="X78" s="71" t="str">
        <f>IF('[1]371 Community Livestock Assets '!W81="","",'[1]371 Community Livestock Assets '!W81)</f>
        <v/>
      </c>
      <c r="Y78" s="71" t="str">
        <f>IF('[1]371 Community Livestock Assets '!X81="","",'[1]371 Community Livestock Assets '!X81)</f>
        <v/>
      </c>
      <c r="Z78" s="71" t="str">
        <f>IF('[1]371 Community Livestock Assets '!Y81="","",'[1]371 Community Livestock Assets '!Y81)</f>
        <v/>
      </c>
      <c r="AA78" s="71" t="str">
        <f>IF('[1]371 Community Livestock Assets '!Z81="","",'[1]371 Community Livestock Assets '!Z81)</f>
        <v/>
      </c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</row>
    <row r="79" spans="1:53" s="39" customFormat="1" ht="17" hidden="1" customHeight="1">
      <c r="A79" s="50"/>
      <c r="B79" s="93" t="str">
        <f>IF('[1]371 Community Livestock Assets '!B81=0," ",'[1]371 Community Livestock Assets '!B81)</f>
        <v xml:space="preserve"> </v>
      </c>
      <c r="C79" s="93" t="str">
        <f>IF('[1]371 Community Livestock Assets '!C82=0," ",'[1]371 Community Livestock Assets '!C82)</f>
        <v xml:space="preserve"> </v>
      </c>
      <c r="D79" s="88" t="str">
        <f t="shared" si="4"/>
        <v xml:space="preserve"> </v>
      </c>
      <c r="E79" s="71" t="str">
        <f>IF('[1]371 Community Livestock Assets '!D82="","",'[1]371 Community Livestock Assets '!D82)</f>
        <v/>
      </c>
      <c r="F79" s="71" t="str">
        <f>IF('[1]371 Community Livestock Assets '!E82="","",'[1]371 Community Livestock Assets '!E82)</f>
        <v/>
      </c>
      <c r="G79" s="71" t="str">
        <f>IF('[1]371 Community Livestock Assets '!F82="","",'[1]371 Community Livestock Assets '!F82)</f>
        <v/>
      </c>
      <c r="H79" s="71" t="str">
        <f>IF('[1]371 Community Livestock Assets '!G82="","",'[1]371 Community Livestock Assets '!G82)</f>
        <v/>
      </c>
      <c r="I79" s="71" t="str">
        <f>IF('[1]371 Community Livestock Assets '!H82="","",'[1]371 Community Livestock Assets '!H82)</f>
        <v/>
      </c>
      <c r="J79" s="71" t="str">
        <f>IF('[1]371 Community Livestock Assets '!I82="","",'[1]371 Community Livestock Assets '!I82)</f>
        <v/>
      </c>
      <c r="K79" s="71" t="str">
        <f>IF('[1]371 Community Livestock Assets '!J82="","",'[1]371 Community Livestock Assets '!J82)</f>
        <v/>
      </c>
      <c r="L79" s="71" t="str">
        <f>IF('[1]371 Community Livestock Assets '!K82="","",'[1]371 Community Livestock Assets '!K82)</f>
        <v/>
      </c>
      <c r="M79" s="71" t="str">
        <f>IF('[1]371 Community Livestock Assets '!L82="","",'[1]371 Community Livestock Assets '!L82)</f>
        <v/>
      </c>
      <c r="N79" s="71" t="str">
        <f>IF('[1]371 Community Livestock Assets '!M82="","",'[1]371 Community Livestock Assets '!M82)</f>
        <v/>
      </c>
      <c r="O79" s="71" t="str">
        <f>IF('[1]371 Community Livestock Assets '!N82="","",'[1]371 Community Livestock Assets '!N82)</f>
        <v/>
      </c>
      <c r="P79" s="71" t="str">
        <f>IF('[1]371 Community Livestock Assets '!O82="","",'[1]371 Community Livestock Assets '!O82)</f>
        <v/>
      </c>
      <c r="Q79" s="71" t="str">
        <f>IF('[1]371 Community Livestock Assets '!P82="","",'[1]371 Community Livestock Assets '!P82)</f>
        <v/>
      </c>
      <c r="R79" s="71" t="str">
        <f>IF('[1]371 Community Livestock Assets '!Q82="","",'[1]371 Community Livestock Assets '!Q82)</f>
        <v/>
      </c>
      <c r="S79" s="71" t="str">
        <f>IF('[1]371 Community Livestock Assets '!R82="","",'[1]371 Community Livestock Assets '!R82)</f>
        <v/>
      </c>
      <c r="T79" s="71" t="str">
        <f>IF('[1]371 Community Livestock Assets '!S82="","",'[1]371 Community Livestock Assets '!S82)</f>
        <v/>
      </c>
      <c r="U79" s="71" t="str">
        <f>IF('[1]371 Community Livestock Assets '!T82="","",'[1]371 Community Livestock Assets '!T82)</f>
        <v/>
      </c>
      <c r="V79" s="71" t="str">
        <f>IF('[1]371 Community Livestock Assets '!U82="","",'[1]371 Community Livestock Assets '!U82)</f>
        <v/>
      </c>
      <c r="W79" s="71" t="str">
        <f>IF('[1]371 Community Livestock Assets '!V82="","",'[1]371 Community Livestock Assets '!V82)</f>
        <v/>
      </c>
      <c r="X79" s="71" t="str">
        <f>IF('[1]371 Community Livestock Assets '!W82="","",'[1]371 Community Livestock Assets '!W82)</f>
        <v/>
      </c>
      <c r="Y79" s="71" t="str">
        <f>IF('[1]371 Community Livestock Assets '!X82="","",'[1]371 Community Livestock Assets '!X82)</f>
        <v/>
      </c>
      <c r="Z79" s="71" t="str">
        <f>IF('[1]371 Community Livestock Assets '!Y82="","",'[1]371 Community Livestock Assets '!Y82)</f>
        <v/>
      </c>
      <c r="AA79" s="71" t="str">
        <f>IF('[1]371 Community Livestock Assets '!Z82="","",'[1]371 Community Livestock Assets '!Z82)</f>
        <v/>
      </c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</row>
    <row r="80" spans="1:53" s="39" customFormat="1" ht="17" hidden="1" customHeight="1">
      <c r="A80" s="50"/>
      <c r="B80" s="93" t="str">
        <f>IF('[1]371 Community Livestock Assets '!B82=0," ",'[1]371 Community Livestock Assets '!B82)</f>
        <v xml:space="preserve"> </v>
      </c>
      <c r="C80" s="93" t="str">
        <f>IF('[1]371 Community Livestock Assets '!C83=0," ",'[1]371 Community Livestock Assets '!C83)</f>
        <v xml:space="preserve"> </v>
      </c>
      <c r="D80" s="88" t="str">
        <f t="shared" si="4"/>
        <v xml:space="preserve"> </v>
      </c>
      <c r="E80" s="71" t="str">
        <f>IF('[1]371 Community Livestock Assets '!D83="","",'[1]371 Community Livestock Assets '!D83)</f>
        <v/>
      </c>
      <c r="F80" s="71" t="str">
        <f>IF('[1]371 Community Livestock Assets '!E83="","",'[1]371 Community Livestock Assets '!E83)</f>
        <v/>
      </c>
      <c r="G80" s="71" t="str">
        <f>IF('[1]371 Community Livestock Assets '!F83="","",'[1]371 Community Livestock Assets '!F83)</f>
        <v/>
      </c>
      <c r="H80" s="71" t="str">
        <f>IF('[1]371 Community Livestock Assets '!G83="","",'[1]371 Community Livestock Assets '!G83)</f>
        <v/>
      </c>
      <c r="I80" s="71" t="str">
        <f>IF('[1]371 Community Livestock Assets '!H83="","",'[1]371 Community Livestock Assets '!H83)</f>
        <v/>
      </c>
      <c r="J80" s="71" t="str">
        <f>IF('[1]371 Community Livestock Assets '!I83="","",'[1]371 Community Livestock Assets '!I83)</f>
        <v/>
      </c>
      <c r="K80" s="71" t="str">
        <f>IF('[1]371 Community Livestock Assets '!J83="","",'[1]371 Community Livestock Assets '!J83)</f>
        <v/>
      </c>
      <c r="L80" s="71" t="str">
        <f>IF('[1]371 Community Livestock Assets '!K83="","",'[1]371 Community Livestock Assets '!K83)</f>
        <v/>
      </c>
      <c r="M80" s="71" t="str">
        <f>IF('[1]371 Community Livestock Assets '!L83="","",'[1]371 Community Livestock Assets '!L83)</f>
        <v/>
      </c>
      <c r="N80" s="71" t="str">
        <f>IF('[1]371 Community Livestock Assets '!M83="","",'[1]371 Community Livestock Assets '!M83)</f>
        <v/>
      </c>
      <c r="O80" s="71" t="str">
        <f>IF('[1]371 Community Livestock Assets '!N83="","",'[1]371 Community Livestock Assets '!N83)</f>
        <v/>
      </c>
      <c r="P80" s="71" t="str">
        <f>IF('[1]371 Community Livestock Assets '!O83="","",'[1]371 Community Livestock Assets '!O83)</f>
        <v/>
      </c>
      <c r="Q80" s="71" t="str">
        <f>IF('[1]371 Community Livestock Assets '!P83="","",'[1]371 Community Livestock Assets '!P83)</f>
        <v/>
      </c>
      <c r="R80" s="71" t="str">
        <f>IF('[1]371 Community Livestock Assets '!Q83="","",'[1]371 Community Livestock Assets '!Q83)</f>
        <v/>
      </c>
      <c r="S80" s="71" t="str">
        <f>IF('[1]371 Community Livestock Assets '!R83="","",'[1]371 Community Livestock Assets '!R83)</f>
        <v/>
      </c>
      <c r="T80" s="71" t="str">
        <f>IF('[1]371 Community Livestock Assets '!S83="","",'[1]371 Community Livestock Assets '!S83)</f>
        <v/>
      </c>
      <c r="U80" s="71" t="str">
        <f>IF('[1]371 Community Livestock Assets '!T83="","",'[1]371 Community Livestock Assets '!T83)</f>
        <v/>
      </c>
      <c r="V80" s="71" t="str">
        <f>IF('[1]371 Community Livestock Assets '!U83="","",'[1]371 Community Livestock Assets '!U83)</f>
        <v/>
      </c>
      <c r="W80" s="71" t="str">
        <f>IF('[1]371 Community Livestock Assets '!V83="","",'[1]371 Community Livestock Assets '!V83)</f>
        <v/>
      </c>
      <c r="X80" s="71" t="str">
        <f>IF('[1]371 Community Livestock Assets '!W83="","",'[1]371 Community Livestock Assets '!W83)</f>
        <v/>
      </c>
      <c r="Y80" s="71" t="str">
        <f>IF('[1]371 Community Livestock Assets '!X83="","",'[1]371 Community Livestock Assets '!X83)</f>
        <v/>
      </c>
      <c r="Z80" s="71" t="str">
        <f>IF('[1]371 Community Livestock Assets '!Y83="","",'[1]371 Community Livestock Assets '!Y83)</f>
        <v/>
      </c>
      <c r="AA80" s="71" t="str">
        <f>IF('[1]371 Community Livestock Assets '!Z83="","",'[1]371 Community Livestock Assets '!Z83)</f>
        <v/>
      </c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</row>
    <row r="81" spans="1:53" s="39" customFormat="1" ht="17" hidden="1" customHeight="1">
      <c r="A81" s="50"/>
      <c r="B81" s="93" t="str">
        <f>IF('[1]371 Community Livestock Assets '!B83=0," ",'[1]371 Community Livestock Assets '!B83)</f>
        <v xml:space="preserve"> </v>
      </c>
      <c r="C81" s="93" t="str">
        <f>IF('[1]371 Community Livestock Assets '!C84=0," ",'[1]371 Community Livestock Assets '!C84)</f>
        <v xml:space="preserve"> </v>
      </c>
      <c r="D81" s="88" t="str">
        <f t="shared" si="4"/>
        <v xml:space="preserve"> </v>
      </c>
      <c r="E81" s="71" t="str">
        <f>IF('[1]371 Community Livestock Assets '!D84="","",'[1]371 Community Livestock Assets '!D84)</f>
        <v/>
      </c>
      <c r="F81" s="71" t="str">
        <f>IF('[1]371 Community Livestock Assets '!E84="","",'[1]371 Community Livestock Assets '!E84)</f>
        <v/>
      </c>
      <c r="G81" s="71" t="str">
        <f>IF('[1]371 Community Livestock Assets '!F84="","",'[1]371 Community Livestock Assets '!F84)</f>
        <v/>
      </c>
      <c r="H81" s="71" t="str">
        <f>IF('[1]371 Community Livestock Assets '!G84="","",'[1]371 Community Livestock Assets '!G84)</f>
        <v/>
      </c>
      <c r="I81" s="71" t="str">
        <f>IF('[1]371 Community Livestock Assets '!H84="","",'[1]371 Community Livestock Assets '!H84)</f>
        <v/>
      </c>
      <c r="J81" s="71" t="str">
        <f>IF('[1]371 Community Livestock Assets '!I84="","",'[1]371 Community Livestock Assets '!I84)</f>
        <v/>
      </c>
      <c r="K81" s="71" t="str">
        <f>IF('[1]371 Community Livestock Assets '!J84="","",'[1]371 Community Livestock Assets '!J84)</f>
        <v/>
      </c>
      <c r="L81" s="71" t="str">
        <f>IF('[1]371 Community Livestock Assets '!K84="","",'[1]371 Community Livestock Assets '!K84)</f>
        <v/>
      </c>
      <c r="M81" s="71" t="str">
        <f>IF('[1]371 Community Livestock Assets '!L84="","",'[1]371 Community Livestock Assets '!L84)</f>
        <v/>
      </c>
      <c r="N81" s="71" t="str">
        <f>IF('[1]371 Community Livestock Assets '!M84="","",'[1]371 Community Livestock Assets '!M84)</f>
        <v/>
      </c>
      <c r="O81" s="71" t="str">
        <f>IF('[1]371 Community Livestock Assets '!N84="","",'[1]371 Community Livestock Assets '!N84)</f>
        <v/>
      </c>
      <c r="P81" s="71" t="str">
        <f>IF('[1]371 Community Livestock Assets '!O84="","",'[1]371 Community Livestock Assets '!O84)</f>
        <v/>
      </c>
      <c r="Q81" s="71" t="str">
        <f>IF('[1]371 Community Livestock Assets '!P84="","",'[1]371 Community Livestock Assets '!P84)</f>
        <v/>
      </c>
      <c r="R81" s="71" t="str">
        <f>IF('[1]371 Community Livestock Assets '!Q84="","",'[1]371 Community Livestock Assets '!Q84)</f>
        <v/>
      </c>
      <c r="S81" s="71" t="str">
        <f>IF('[1]371 Community Livestock Assets '!R84="","",'[1]371 Community Livestock Assets '!R84)</f>
        <v/>
      </c>
      <c r="T81" s="71" t="str">
        <f>IF('[1]371 Community Livestock Assets '!S84="","",'[1]371 Community Livestock Assets '!S84)</f>
        <v/>
      </c>
      <c r="U81" s="71" t="str">
        <f>IF('[1]371 Community Livestock Assets '!T84="","",'[1]371 Community Livestock Assets '!T84)</f>
        <v/>
      </c>
      <c r="V81" s="71" t="str">
        <f>IF('[1]371 Community Livestock Assets '!U84="","",'[1]371 Community Livestock Assets '!U84)</f>
        <v/>
      </c>
      <c r="W81" s="71" t="str">
        <f>IF('[1]371 Community Livestock Assets '!V84="","",'[1]371 Community Livestock Assets '!V84)</f>
        <v/>
      </c>
      <c r="X81" s="71" t="str">
        <f>IF('[1]371 Community Livestock Assets '!W84="","",'[1]371 Community Livestock Assets '!W84)</f>
        <v/>
      </c>
      <c r="Y81" s="71" t="str">
        <f>IF('[1]371 Community Livestock Assets '!X84="","",'[1]371 Community Livestock Assets '!X84)</f>
        <v/>
      </c>
      <c r="Z81" s="71" t="str">
        <f>IF('[1]371 Community Livestock Assets '!Y84="","",'[1]371 Community Livestock Assets '!Y84)</f>
        <v/>
      </c>
      <c r="AA81" s="71" t="str">
        <f>IF('[1]371 Community Livestock Assets '!Z84="","",'[1]371 Community Livestock Assets '!Z84)</f>
        <v/>
      </c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</row>
    <row r="82" spans="1:53" s="39" customFormat="1" ht="17" hidden="1" customHeight="1">
      <c r="A82" s="50"/>
      <c r="B82" s="93" t="str">
        <f>IF('[1]371 Community Livestock Assets '!B84=0," ",'[1]371 Community Livestock Assets '!B84)</f>
        <v xml:space="preserve"> </v>
      </c>
      <c r="C82" s="93" t="str">
        <f>IF('[1]371 Community Livestock Assets '!C85=0," ",'[1]371 Community Livestock Assets '!C85)</f>
        <v xml:space="preserve"> </v>
      </c>
      <c r="D82" s="88" t="str">
        <f t="shared" si="4"/>
        <v xml:space="preserve"> </v>
      </c>
      <c r="E82" s="71" t="str">
        <f>IF('[1]371 Community Livestock Assets '!D85="","",'[1]371 Community Livestock Assets '!D85)</f>
        <v/>
      </c>
      <c r="F82" s="71" t="str">
        <f>IF('[1]371 Community Livestock Assets '!E85="","",'[1]371 Community Livestock Assets '!E85)</f>
        <v/>
      </c>
      <c r="G82" s="71" t="str">
        <f>IF('[1]371 Community Livestock Assets '!F85="","",'[1]371 Community Livestock Assets '!F85)</f>
        <v/>
      </c>
      <c r="H82" s="71" t="str">
        <f>IF('[1]371 Community Livestock Assets '!G85="","",'[1]371 Community Livestock Assets '!G85)</f>
        <v/>
      </c>
      <c r="I82" s="71" t="str">
        <f>IF('[1]371 Community Livestock Assets '!H85="","",'[1]371 Community Livestock Assets '!H85)</f>
        <v/>
      </c>
      <c r="J82" s="71" t="str">
        <f>IF('[1]371 Community Livestock Assets '!I85="","",'[1]371 Community Livestock Assets '!I85)</f>
        <v/>
      </c>
      <c r="K82" s="71" t="str">
        <f>IF('[1]371 Community Livestock Assets '!J85="","",'[1]371 Community Livestock Assets '!J85)</f>
        <v/>
      </c>
      <c r="L82" s="71" t="str">
        <f>IF('[1]371 Community Livestock Assets '!K85="","",'[1]371 Community Livestock Assets '!K85)</f>
        <v/>
      </c>
      <c r="M82" s="71" t="str">
        <f>IF('[1]371 Community Livestock Assets '!L85="","",'[1]371 Community Livestock Assets '!L85)</f>
        <v/>
      </c>
      <c r="N82" s="71" t="str">
        <f>IF('[1]371 Community Livestock Assets '!M85="","",'[1]371 Community Livestock Assets '!M85)</f>
        <v/>
      </c>
      <c r="O82" s="71" t="str">
        <f>IF('[1]371 Community Livestock Assets '!N85="","",'[1]371 Community Livestock Assets '!N85)</f>
        <v/>
      </c>
      <c r="P82" s="71" t="str">
        <f>IF('[1]371 Community Livestock Assets '!O85="","",'[1]371 Community Livestock Assets '!O85)</f>
        <v/>
      </c>
      <c r="Q82" s="71" t="str">
        <f>IF('[1]371 Community Livestock Assets '!P85="","",'[1]371 Community Livestock Assets '!P85)</f>
        <v/>
      </c>
      <c r="R82" s="71" t="str">
        <f>IF('[1]371 Community Livestock Assets '!Q85="","",'[1]371 Community Livestock Assets '!Q85)</f>
        <v/>
      </c>
      <c r="S82" s="71" t="str">
        <f>IF('[1]371 Community Livestock Assets '!R85="","",'[1]371 Community Livestock Assets '!R85)</f>
        <v/>
      </c>
      <c r="T82" s="71" t="str">
        <f>IF('[1]371 Community Livestock Assets '!S85="","",'[1]371 Community Livestock Assets '!S85)</f>
        <v/>
      </c>
      <c r="U82" s="71" t="str">
        <f>IF('[1]371 Community Livestock Assets '!T85="","",'[1]371 Community Livestock Assets '!T85)</f>
        <v/>
      </c>
      <c r="V82" s="71" t="str">
        <f>IF('[1]371 Community Livestock Assets '!U85="","",'[1]371 Community Livestock Assets '!U85)</f>
        <v/>
      </c>
      <c r="W82" s="71" t="str">
        <f>IF('[1]371 Community Livestock Assets '!V85="","",'[1]371 Community Livestock Assets '!V85)</f>
        <v/>
      </c>
      <c r="X82" s="71" t="str">
        <f>IF('[1]371 Community Livestock Assets '!W85="","",'[1]371 Community Livestock Assets '!W85)</f>
        <v/>
      </c>
      <c r="Y82" s="71" t="str">
        <f>IF('[1]371 Community Livestock Assets '!X85="","",'[1]371 Community Livestock Assets '!X85)</f>
        <v/>
      </c>
      <c r="Z82" s="71" t="str">
        <f>IF('[1]371 Community Livestock Assets '!Y85="","",'[1]371 Community Livestock Assets '!Y85)</f>
        <v/>
      </c>
      <c r="AA82" s="71" t="str">
        <f>IF('[1]371 Community Livestock Assets '!Z85="","",'[1]371 Community Livestock Assets '!Z85)</f>
        <v/>
      </c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</row>
    <row r="83" spans="1:53" s="39" customFormat="1" ht="17" hidden="1" customHeight="1">
      <c r="A83" s="50"/>
      <c r="B83" s="93" t="str">
        <f>IF('[1]371 Community Livestock Assets '!B85=0," ",'[1]371 Community Livestock Assets '!B85)</f>
        <v xml:space="preserve"> </v>
      </c>
      <c r="C83" s="93" t="str">
        <f>IF('[1]371 Community Livestock Assets '!C86=0," ",'[1]371 Community Livestock Assets '!C86)</f>
        <v xml:space="preserve"> </v>
      </c>
      <c r="D83" s="88" t="str">
        <f t="shared" si="4"/>
        <v xml:space="preserve"> </v>
      </c>
      <c r="E83" s="71" t="str">
        <f>IF('[1]371 Community Livestock Assets '!D86="","",'[1]371 Community Livestock Assets '!D86)</f>
        <v/>
      </c>
      <c r="F83" s="71" t="str">
        <f>IF('[1]371 Community Livestock Assets '!E86="","",'[1]371 Community Livestock Assets '!E86)</f>
        <v/>
      </c>
      <c r="G83" s="71" t="str">
        <f>IF('[1]371 Community Livestock Assets '!F86="","",'[1]371 Community Livestock Assets '!F86)</f>
        <v/>
      </c>
      <c r="H83" s="71" t="str">
        <f>IF('[1]371 Community Livestock Assets '!G86="","",'[1]371 Community Livestock Assets '!G86)</f>
        <v/>
      </c>
      <c r="I83" s="71" t="str">
        <f>IF('[1]371 Community Livestock Assets '!H86="","",'[1]371 Community Livestock Assets '!H86)</f>
        <v/>
      </c>
      <c r="J83" s="71" t="str">
        <f>IF('[1]371 Community Livestock Assets '!I86="","",'[1]371 Community Livestock Assets '!I86)</f>
        <v/>
      </c>
      <c r="K83" s="71" t="str">
        <f>IF('[1]371 Community Livestock Assets '!J86="","",'[1]371 Community Livestock Assets '!J86)</f>
        <v/>
      </c>
      <c r="L83" s="71" t="str">
        <f>IF('[1]371 Community Livestock Assets '!K86="","",'[1]371 Community Livestock Assets '!K86)</f>
        <v/>
      </c>
      <c r="M83" s="71" t="str">
        <f>IF('[1]371 Community Livestock Assets '!L86="","",'[1]371 Community Livestock Assets '!L86)</f>
        <v/>
      </c>
      <c r="N83" s="71" t="str">
        <f>IF('[1]371 Community Livestock Assets '!M86="","",'[1]371 Community Livestock Assets '!M86)</f>
        <v/>
      </c>
      <c r="O83" s="71" t="str">
        <f>IF('[1]371 Community Livestock Assets '!N86="","",'[1]371 Community Livestock Assets '!N86)</f>
        <v/>
      </c>
      <c r="P83" s="71" t="str">
        <f>IF('[1]371 Community Livestock Assets '!O86="","",'[1]371 Community Livestock Assets '!O86)</f>
        <v/>
      </c>
      <c r="Q83" s="71" t="str">
        <f>IF('[1]371 Community Livestock Assets '!P86="","",'[1]371 Community Livestock Assets '!P86)</f>
        <v/>
      </c>
      <c r="R83" s="71" t="str">
        <f>IF('[1]371 Community Livestock Assets '!Q86="","",'[1]371 Community Livestock Assets '!Q86)</f>
        <v/>
      </c>
      <c r="S83" s="71" t="str">
        <f>IF('[1]371 Community Livestock Assets '!R86="","",'[1]371 Community Livestock Assets '!R86)</f>
        <v/>
      </c>
      <c r="T83" s="71" t="str">
        <f>IF('[1]371 Community Livestock Assets '!S86="","",'[1]371 Community Livestock Assets '!S86)</f>
        <v/>
      </c>
      <c r="U83" s="71" t="str">
        <f>IF('[1]371 Community Livestock Assets '!T86="","",'[1]371 Community Livestock Assets '!T86)</f>
        <v/>
      </c>
      <c r="V83" s="71" t="str">
        <f>IF('[1]371 Community Livestock Assets '!U86="","",'[1]371 Community Livestock Assets '!U86)</f>
        <v/>
      </c>
      <c r="W83" s="71" t="str">
        <f>IF('[1]371 Community Livestock Assets '!V86="","",'[1]371 Community Livestock Assets '!V86)</f>
        <v/>
      </c>
      <c r="X83" s="71" t="str">
        <f>IF('[1]371 Community Livestock Assets '!W86="","",'[1]371 Community Livestock Assets '!W86)</f>
        <v/>
      </c>
      <c r="Y83" s="71" t="str">
        <f>IF('[1]371 Community Livestock Assets '!X86="","",'[1]371 Community Livestock Assets '!X86)</f>
        <v/>
      </c>
      <c r="Z83" s="71" t="str">
        <f>IF('[1]371 Community Livestock Assets '!Y86="","",'[1]371 Community Livestock Assets '!Y86)</f>
        <v/>
      </c>
      <c r="AA83" s="71" t="str">
        <f>IF('[1]371 Community Livestock Assets '!Z86="","",'[1]371 Community Livestock Assets '!Z86)</f>
        <v/>
      </c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</row>
    <row r="84" spans="1:53" s="39" customFormat="1" ht="17" hidden="1" customHeight="1">
      <c r="A84" s="50"/>
      <c r="B84" s="93" t="str">
        <f>IF('[1]371 Community Livestock Assets '!B86=0," ",'[1]371 Community Livestock Assets '!B86)</f>
        <v xml:space="preserve"> </v>
      </c>
      <c r="C84" s="93" t="str">
        <f>IF('[1]371 Community Livestock Assets '!C87=0," ",'[1]371 Community Livestock Assets '!C87)</f>
        <v xml:space="preserve"> </v>
      </c>
      <c r="D84" s="88" t="str">
        <f t="shared" si="4"/>
        <v xml:space="preserve"> </v>
      </c>
      <c r="E84" s="71" t="str">
        <f>IF('[1]371 Community Livestock Assets '!D87="","",'[1]371 Community Livestock Assets '!D87)</f>
        <v/>
      </c>
      <c r="F84" s="71" t="str">
        <f>IF('[1]371 Community Livestock Assets '!E87="","",'[1]371 Community Livestock Assets '!E87)</f>
        <v/>
      </c>
      <c r="G84" s="71" t="str">
        <f>IF('[1]371 Community Livestock Assets '!F87="","",'[1]371 Community Livestock Assets '!F87)</f>
        <v/>
      </c>
      <c r="H84" s="71" t="str">
        <f>IF('[1]371 Community Livestock Assets '!G87="","",'[1]371 Community Livestock Assets '!G87)</f>
        <v/>
      </c>
      <c r="I84" s="71" t="str">
        <f>IF('[1]371 Community Livestock Assets '!H87="","",'[1]371 Community Livestock Assets '!H87)</f>
        <v/>
      </c>
      <c r="J84" s="71" t="str">
        <f>IF('[1]371 Community Livestock Assets '!I87="","",'[1]371 Community Livestock Assets '!I87)</f>
        <v/>
      </c>
      <c r="K84" s="71" t="str">
        <f>IF('[1]371 Community Livestock Assets '!J87="","",'[1]371 Community Livestock Assets '!J87)</f>
        <v/>
      </c>
      <c r="L84" s="71" t="str">
        <f>IF('[1]371 Community Livestock Assets '!K87="","",'[1]371 Community Livestock Assets '!K87)</f>
        <v/>
      </c>
      <c r="M84" s="71" t="str">
        <f>IF('[1]371 Community Livestock Assets '!L87="","",'[1]371 Community Livestock Assets '!L87)</f>
        <v/>
      </c>
      <c r="N84" s="71" t="str">
        <f>IF('[1]371 Community Livestock Assets '!M87="","",'[1]371 Community Livestock Assets '!M87)</f>
        <v/>
      </c>
      <c r="O84" s="71" t="str">
        <f>IF('[1]371 Community Livestock Assets '!N87="","",'[1]371 Community Livestock Assets '!N87)</f>
        <v/>
      </c>
      <c r="P84" s="71" t="str">
        <f>IF('[1]371 Community Livestock Assets '!O87="","",'[1]371 Community Livestock Assets '!O87)</f>
        <v/>
      </c>
      <c r="Q84" s="71" t="str">
        <f>IF('[1]371 Community Livestock Assets '!P87="","",'[1]371 Community Livestock Assets '!P87)</f>
        <v/>
      </c>
      <c r="R84" s="71" t="str">
        <f>IF('[1]371 Community Livestock Assets '!Q87="","",'[1]371 Community Livestock Assets '!Q87)</f>
        <v/>
      </c>
      <c r="S84" s="71" t="str">
        <f>IF('[1]371 Community Livestock Assets '!R87="","",'[1]371 Community Livestock Assets '!R87)</f>
        <v/>
      </c>
      <c r="T84" s="71" t="str">
        <f>IF('[1]371 Community Livestock Assets '!S87="","",'[1]371 Community Livestock Assets '!S87)</f>
        <v/>
      </c>
      <c r="U84" s="71" t="str">
        <f>IF('[1]371 Community Livestock Assets '!T87="","",'[1]371 Community Livestock Assets '!T87)</f>
        <v/>
      </c>
      <c r="V84" s="71" t="str">
        <f>IF('[1]371 Community Livestock Assets '!U87="","",'[1]371 Community Livestock Assets '!U87)</f>
        <v/>
      </c>
      <c r="W84" s="71" t="str">
        <f>IF('[1]371 Community Livestock Assets '!V87="","",'[1]371 Community Livestock Assets '!V87)</f>
        <v/>
      </c>
      <c r="X84" s="71" t="str">
        <f>IF('[1]371 Community Livestock Assets '!W87="","",'[1]371 Community Livestock Assets '!W87)</f>
        <v/>
      </c>
      <c r="Y84" s="71" t="str">
        <f>IF('[1]371 Community Livestock Assets '!X87="","",'[1]371 Community Livestock Assets '!X87)</f>
        <v/>
      </c>
      <c r="Z84" s="71" t="str">
        <f>IF('[1]371 Community Livestock Assets '!Y87="","",'[1]371 Community Livestock Assets '!Y87)</f>
        <v/>
      </c>
      <c r="AA84" s="71" t="str">
        <f>IF('[1]371 Community Livestock Assets '!Z87="","",'[1]371 Community Livestock Assets '!Z87)</f>
        <v/>
      </c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</row>
    <row r="85" spans="1:53" s="39" customFormat="1" ht="17" hidden="1" customHeight="1">
      <c r="A85" s="50"/>
      <c r="B85" s="93" t="str">
        <f>IF('[1]371 Community Livestock Assets '!B87=0," ",'[1]371 Community Livestock Assets '!B87)</f>
        <v xml:space="preserve"> </v>
      </c>
      <c r="C85" s="93" t="str">
        <f>IF('[1]371 Community Livestock Assets '!C88=0," ",'[1]371 Community Livestock Assets '!C88)</f>
        <v xml:space="preserve"> </v>
      </c>
      <c r="D85" s="88" t="str">
        <f t="shared" si="4"/>
        <v xml:space="preserve"> </v>
      </c>
      <c r="E85" s="71" t="str">
        <f>IF('[1]371 Community Livestock Assets '!D88="","",'[1]371 Community Livestock Assets '!D88)</f>
        <v/>
      </c>
      <c r="F85" s="71" t="str">
        <f>IF('[1]371 Community Livestock Assets '!E88="","",'[1]371 Community Livestock Assets '!E88)</f>
        <v/>
      </c>
      <c r="G85" s="71" t="str">
        <f>IF('[1]371 Community Livestock Assets '!F88="","",'[1]371 Community Livestock Assets '!F88)</f>
        <v/>
      </c>
      <c r="H85" s="71" t="str">
        <f>IF('[1]371 Community Livestock Assets '!G88="","",'[1]371 Community Livestock Assets '!G88)</f>
        <v/>
      </c>
      <c r="I85" s="71" t="str">
        <f>IF('[1]371 Community Livestock Assets '!H88="","",'[1]371 Community Livestock Assets '!H88)</f>
        <v/>
      </c>
      <c r="J85" s="71" t="str">
        <f>IF('[1]371 Community Livestock Assets '!I88="","",'[1]371 Community Livestock Assets '!I88)</f>
        <v/>
      </c>
      <c r="K85" s="71" t="str">
        <f>IF('[1]371 Community Livestock Assets '!J88="","",'[1]371 Community Livestock Assets '!J88)</f>
        <v/>
      </c>
      <c r="L85" s="71" t="str">
        <f>IF('[1]371 Community Livestock Assets '!K88="","",'[1]371 Community Livestock Assets '!K88)</f>
        <v/>
      </c>
      <c r="M85" s="71" t="str">
        <f>IF('[1]371 Community Livestock Assets '!L88="","",'[1]371 Community Livestock Assets '!L88)</f>
        <v/>
      </c>
      <c r="N85" s="71" t="str">
        <f>IF('[1]371 Community Livestock Assets '!M88="","",'[1]371 Community Livestock Assets '!M88)</f>
        <v/>
      </c>
      <c r="O85" s="71" t="str">
        <f>IF('[1]371 Community Livestock Assets '!N88="","",'[1]371 Community Livestock Assets '!N88)</f>
        <v/>
      </c>
      <c r="P85" s="71" t="str">
        <f>IF('[1]371 Community Livestock Assets '!O88="","",'[1]371 Community Livestock Assets '!O88)</f>
        <v/>
      </c>
      <c r="Q85" s="71" t="str">
        <f>IF('[1]371 Community Livestock Assets '!P88="","",'[1]371 Community Livestock Assets '!P88)</f>
        <v/>
      </c>
      <c r="R85" s="71" t="str">
        <f>IF('[1]371 Community Livestock Assets '!Q88="","",'[1]371 Community Livestock Assets '!Q88)</f>
        <v/>
      </c>
      <c r="S85" s="71" t="str">
        <f>IF('[1]371 Community Livestock Assets '!R88="","",'[1]371 Community Livestock Assets '!R88)</f>
        <v/>
      </c>
      <c r="T85" s="71" t="str">
        <f>IF('[1]371 Community Livestock Assets '!S88="","",'[1]371 Community Livestock Assets '!S88)</f>
        <v/>
      </c>
      <c r="U85" s="71" t="str">
        <f>IF('[1]371 Community Livestock Assets '!T88="","",'[1]371 Community Livestock Assets '!T88)</f>
        <v/>
      </c>
      <c r="V85" s="71" t="str">
        <f>IF('[1]371 Community Livestock Assets '!U88="","",'[1]371 Community Livestock Assets '!U88)</f>
        <v/>
      </c>
      <c r="W85" s="71" t="str">
        <f>IF('[1]371 Community Livestock Assets '!V88="","",'[1]371 Community Livestock Assets '!V88)</f>
        <v/>
      </c>
      <c r="X85" s="71" t="str">
        <f>IF('[1]371 Community Livestock Assets '!W88="","",'[1]371 Community Livestock Assets '!W88)</f>
        <v/>
      </c>
      <c r="Y85" s="71" t="str">
        <f>IF('[1]371 Community Livestock Assets '!X88="","",'[1]371 Community Livestock Assets '!X88)</f>
        <v/>
      </c>
      <c r="Z85" s="71" t="str">
        <f>IF('[1]371 Community Livestock Assets '!Y88="","",'[1]371 Community Livestock Assets '!Y88)</f>
        <v/>
      </c>
      <c r="AA85" s="71" t="str">
        <f>IF('[1]371 Community Livestock Assets '!Z88="","",'[1]371 Community Livestock Assets '!Z88)</f>
        <v/>
      </c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</row>
    <row r="86" spans="1:53" s="39" customFormat="1" ht="17" hidden="1" customHeight="1">
      <c r="A86" s="50"/>
      <c r="B86" s="93" t="str">
        <f>IF('[1]371 Community Livestock Assets '!B88=0," ",'[1]371 Community Livestock Assets '!B88)</f>
        <v xml:space="preserve"> </v>
      </c>
      <c r="C86" s="93" t="str">
        <f>IF('[1]371 Community Livestock Assets '!C89=0," ",'[1]371 Community Livestock Assets '!C89)</f>
        <v xml:space="preserve"> </v>
      </c>
      <c r="D86" s="88" t="str">
        <f t="shared" si="4"/>
        <v xml:space="preserve"> </v>
      </c>
      <c r="E86" s="71" t="str">
        <f>IF('[1]371 Community Livestock Assets '!D89="","",'[1]371 Community Livestock Assets '!D89)</f>
        <v/>
      </c>
      <c r="F86" s="71" t="str">
        <f>IF('[1]371 Community Livestock Assets '!E89="","",'[1]371 Community Livestock Assets '!E89)</f>
        <v/>
      </c>
      <c r="G86" s="71" t="str">
        <f>IF('[1]371 Community Livestock Assets '!F89="","",'[1]371 Community Livestock Assets '!F89)</f>
        <v/>
      </c>
      <c r="H86" s="71" t="str">
        <f>IF('[1]371 Community Livestock Assets '!G89="","",'[1]371 Community Livestock Assets '!G89)</f>
        <v/>
      </c>
      <c r="I86" s="71" t="str">
        <f>IF('[1]371 Community Livestock Assets '!H89="","",'[1]371 Community Livestock Assets '!H89)</f>
        <v/>
      </c>
      <c r="J86" s="71" t="str">
        <f>IF('[1]371 Community Livestock Assets '!I89="","",'[1]371 Community Livestock Assets '!I89)</f>
        <v/>
      </c>
      <c r="K86" s="71" t="str">
        <f>IF('[1]371 Community Livestock Assets '!J89="","",'[1]371 Community Livestock Assets '!J89)</f>
        <v/>
      </c>
      <c r="L86" s="71" t="str">
        <f>IF('[1]371 Community Livestock Assets '!K89="","",'[1]371 Community Livestock Assets '!K89)</f>
        <v/>
      </c>
      <c r="M86" s="71" t="str">
        <f>IF('[1]371 Community Livestock Assets '!L89="","",'[1]371 Community Livestock Assets '!L89)</f>
        <v/>
      </c>
      <c r="N86" s="71" t="str">
        <f>IF('[1]371 Community Livestock Assets '!M89="","",'[1]371 Community Livestock Assets '!M89)</f>
        <v/>
      </c>
      <c r="O86" s="71" t="str">
        <f>IF('[1]371 Community Livestock Assets '!N89="","",'[1]371 Community Livestock Assets '!N89)</f>
        <v/>
      </c>
      <c r="P86" s="71" t="str">
        <f>IF('[1]371 Community Livestock Assets '!O89="","",'[1]371 Community Livestock Assets '!O89)</f>
        <v/>
      </c>
      <c r="Q86" s="71" t="str">
        <f>IF('[1]371 Community Livestock Assets '!P89="","",'[1]371 Community Livestock Assets '!P89)</f>
        <v/>
      </c>
      <c r="R86" s="71" t="str">
        <f>IF('[1]371 Community Livestock Assets '!Q89="","",'[1]371 Community Livestock Assets '!Q89)</f>
        <v/>
      </c>
      <c r="S86" s="71" t="str">
        <f>IF('[1]371 Community Livestock Assets '!R89="","",'[1]371 Community Livestock Assets '!R89)</f>
        <v/>
      </c>
      <c r="T86" s="71" t="str">
        <f>IF('[1]371 Community Livestock Assets '!S89="","",'[1]371 Community Livestock Assets '!S89)</f>
        <v/>
      </c>
      <c r="U86" s="71" t="str">
        <f>IF('[1]371 Community Livestock Assets '!T89="","",'[1]371 Community Livestock Assets '!T89)</f>
        <v/>
      </c>
      <c r="V86" s="71" t="str">
        <f>IF('[1]371 Community Livestock Assets '!U89="","",'[1]371 Community Livestock Assets '!U89)</f>
        <v/>
      </c>
      <c r="W86" s="71" t="str">
        <f>IF('[1]371 Community Livestock Assets '!V89="","",'[1]371 Community Livestock Assets '!V89)</f>
        <v/>
      </c>
      <c r="X86" s="71" t="str">
        <f>IF('[1]371 Community Livestock Assets '!W89="","",'[1]371 Community Livestock Assets '!W89)</f>
        <v/>
      </c>
      <c r="Y86" s="71" t="str">
        <f>IF('[1]371 Community Livestock Assets '!X89="","",'[1]371 Community Livestock Assets '!X89)</f>
        <v/>
      </c>
      <c r="Z86" s="71" t="str">
        <f>IF('[1]371 Community Livestock Assets '!Y89="","",'[1]371 Community Livestock Assets '!Y89)</f>
        <v/>
      </c>
      <c r="AA86" s="71" t="str">
        <f>IF('[1]371 Community Livestock Assets '!Z89="","",'[1]371 Community Livestock Assets '!Z89)</f>
        <v/>
      </c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</row>
    <row r="87" spans="1:53" s="39" customFormat="1" ht="17" hidden="1" customHeight="1">
      <c r="A87" s="50"/>
      <c r="B87" s="93" t="str">
        <f>IF('[1]371 Community Livestock Assets '!B89=0," ",'[1]371 Community Livestock Assets '!B89)</f>
        <v xml:space="preserve"> </v>
      </c>
      <c r="C87" s="93" t="str">
        <f>IF('[1]371 Community Livestock Assets '!C90=0," ",'[1]371 Community Livestock Assets '!C90)</f>
        <v xml:space="preserve"> </v>
      </c>
      <c r="D87" s="88" t="str">
        <f t="shared" si="4"/>
        <v xml:space="preserve"> </v>
      </c>
      <c r="E87" s="71" t="str">
        <f>IF('[1]371 Community Livestock Assets '!D90="","",'[1]371 Community Livestock Assets '!D90)</f>
        <v/>
      </c>
      <c r="F87" s="71" t="str">
        <f>IF('[1]371 Community Livestock Assets '!E90="","",'[1]371 Community Livestock Assets '!E90)</f>
        <v/>
      </c>
      <c r="G87" s="71" t="str">
        <f>IF('[1]371 Community Livestock Assets '!F90="","",'[1]371 Community Livestock Assets '!F90)</f>
        <v/>
      </c>
      <c r="H87" s="71" t="str">
        <f>IF('[1]371 Community Livestock Assets '!G90="","",'[1]371 Community Livestock Assets '!G90)</f>
        <v/>
      </c>
      <c r="I87" s="71" t="str">
        <f>IF('[1]371 Community Livestock Assets '!H90="","",'[1]371 Community Livestock Assets '!H90)</f>
        <v/>
      </c>
      <c r="J87" s="71" t="str">
        <f>IF('[1]371 Community Livestock Assets '!I90="","",'[1]371 Community Livestock Assets '!I90)</f>
        <v/>
      </c>
      <c r="K87" s="71" t="str">
        <f>IF('[1]371 Community Livestock Assets '!J90="","",'[1]371 Community Livestock Assets '!J90)</f>
        <v/>
      </c>
      <c r="L87" s="71" t="str">
        <f>IF('[1]371 Community Livestock Assets '!K90="","",'[1]371 Community Livestock Assets '!K90)</f>
        <v/>
      </c>
      <c r="M87" s="71" t="str">
        <f>IF('[1]371 Community Livestock Assets '!L90="","",'[1]371 Community Livestock Assets '!L90)</f>
        <v/>
      </c>
      <c r="N87" s="71" t="str">
        <f>IF('[1]371 Community Livestock Assets '!M90="","",'[1]371 Community Livestock Assets '!M90)</f>
        <v/>
      </c>
      <c r="O87" s="71" t="str">
        <f>IF('[1]371 Community Livestock Assets '!N90="","",'[1]371 Community Livestock Assets '!N90)</f>
        <v/>
      </c>
      <c r="P87" s="71" t="str">
        <f>IF('[1]371 Community Livestock Assets '!O90="","",'[1]371 Community Livestock Assets '!O90)</f>
        <v/>
      </c>
      <c r="Q87" s="71" t="str">
        <f>IF('[1]371 Community Livestock Assets '!P90="","",'[1]371 Community Livestock Assets '!P90)</f>
        <v/>
      </c>
      <c r="R87" s="71" t="str">
        <f>IF('[1]371 Community Livestock Assets '!Q90="","",'[1]371 Community Livestock Assets '!Q90)</f>
        <v/>
      </c>
      <c r="S87" s="71" t="str">
        <f>IF('[1]371 Community Livestock Assets '!R90="","",'[1]371 Community Livestock Assets '!R90)</f>
        <v/>
      </c>
      <c r="T87" s="71" t="str">
        <f>IF('[1]371 Community Livestock Assets '!S90="","",'[1]371 Community Livestock Assets '!S90)</f>
        <v/>
      </c>
      <c r="U87" s="71" t="str">
        <f>IF('[1]371 Community Livestock Assets '!T90="","",'[1]371 Community Livestock Assets '!T90)</f>
        <v/>
      </c>
      <c r="V87" s="71" t="str">
        <f>IF('[1]371 Community Livestock Assets '!U90="","",'[1]371 Community Livestock Assets '!U90)</f>
        <v/>
      </c>
      <c r="W87" s="71" t="str">
        <f>IF('[1]371 Community Livestock Assets '!V90="","",'[1]371 Community Livestock Assets '!V90)</f>
        <v/>
      </c>
      <c r="X87" s="71" t="str">
        <f>IF('[1]371 Community Livestock Assets '!W90="","",'[1]371 Community Livestock Assets '!W90)</f>
        <v/>
      </c>
      <c r="Y87" s="71" t="str">
        <f>IF('[1]371 Community Livestock Assets '!X90="","",'[1]371 Community Livestock Assets '!X90)</f>
        <v/>
      </c>
      <c r="Z87" s="71" t="str">
        <f>IF('[1]371 Community Livestock Assets '!Y90="","",'[1]371 Community Livestock Assets '!Y90)</f>
        <v/>
      </c>
      <c r="AA87" s="71" t="str">
        <f>IF('[1]371 Community Livestock Assets '!Z90="","",'[1]371 Community Livestock Assets '!Z90)</f>
        <v/>
      </c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</row>
    <row r="88" spans="1:53" s="39" customFormat="1" ht="17" hidden="1" customHeight="1">
      <c r="A88" s="50"/>
      <c r="B88" s="93" t="str">
        <f>IF('[1]371 Community Livestock Assets '!B90=0," ",'[1]371 Community Livestock Assets '!B90)</f>
        <v xml:space="preserve"> </v>
      </c>
      <c r="C88" s="93" t="str">
        <f>IF('[1]371 Community Livestock Assets '!C91=0," ",'[1]371 Community Livestock Assets '!C91)</f>
        <v xml:space="preserve"> </v>
      </c>
      <c r="D88" s="88" t="str">
        <f t="shared" si="4"/>
        <v xml:space="preserve"> </v>
      </c>
      <c r="E88" s="71" t="str">
        <f>IF('[1]371 Community Livestock Assets '!D91="","",'[1]371 Community Livestock Assets '!D91)</f>
        <v/>
      </c>
      <c r="F88" s="71" t="str">
        <f>IF('[1]371 Community Livestock Assets '!E91="","",'[1]371 Community Livestock Assets '!E91)</f>
        <v/>
      </c>
      <c r="G88" s="71" t="str">
        <f>IF('[1]371 Community Livestock Assets '!F91="","",'[1]371 Community Livestock Assets '!F91)</f>
        <v/>
      </c>
      <c r="H88" s="71" t="str">
        <f>IF('[1]371 Community Livestock Assets '!G91="","",'[1]371 Community Livestock Assets '!G91)</f>
        <v/>
      </c>
      <c r="I88" s="71" t="str">
        <f>IF('[1]371 Community Livestock Assets '!H91="","",'[1]371 Community Livestock Assets '!H91)</f>
        <v/>
      </c>
      <c r="J88" s="71" t="str">
        <f>IF('[1]371 Community Livestock Assets '!I91="","",'[1]371 Community Livestock Assets '!I91)</f>
        <v/>
      </c>
      <c r="K88" s="71" t="str">
        <f>IF('[1]371 Community Livestock Assets '!J91="","",'[1]371 Community Livestock Assets '!J91)</f>
        <v/>
      </c>
      <c r="L88" s="71" t="str">
        <f>IF('[1]371 Community Livestock Assets '!K91="","",'[1]371 Community Livestock Assets '!K91)</f>
        <v/>
      </c>
      <c r="M88" s="71" t="str">
        <f>IF('[1]371 Community Livestock Assets '!L91="","",'[1]371 Community Livestock Assets '!L91)</f>
        <v/>
      </c>
      <c r="N88" s="71" t="str">
        <f>IF('[1]371 Community Livestock Assets '!M91="","",'[1]371 Community Livestock Assets '!M91)</f>
        <v/>
      </c>
      <c r="O88" s="71" t="str">
        <f>IF('[1]371 Community Livestock Assets '!N91="","",'[1]371 Community Livestock Assets '!N91)</f>
        <v/>
      </c>
      <c r="P88" s="71" t="str">
        <f>IF('[1]371 Community Livestock Assets '!O91="","",'[1]371 Community Livestock Assets '!O91)</f>
        <v/>
      </c>
      <c r="Q88" s="71" t="str">
        <f>IF('[1]371 Community Livestock Assets '!P91="","",'[1]371 Community Livestock Assets '!P91)</f>
        <v/>
      </c>
      <c r="R88" s="71" t="str">
        <f>IF('[1]371 Community Livestock Assets '!Q91="","",'[1]371 Community Livestock Assets '!Q91)</f>
        <v/>
      </c>
      <c r="S88" s="71" t="str">
        <f>IF('[1]371 Community Livestock Assets '!R91="","",'[1]371 Community Livestock Assets '!R91)</f>
        <v/>
      </c>
      <c r="T88" s="71" t="str">
        <f>IF('[1]371 Community Livestock Assets '!S91="","",'[1]371 Community Livestock Assets '!S91)</f>
        <v/>
      </c>
      <c r="U88" s="71" t="str">
        <f>IF('[1]371 Community Livestock Assets '!T91="","",'[1]371 Community Livestock Assets '!T91)</f>
        <v/>
      </c>
      <c r="V88" s="71" t="str">
        <f>IF('[1]371 Community Livestock Assets '!U91="","",'[1]371 Community Livestock Assets '!U91)</f>
        <v/>
      </c>
      <c r="W88" s="71" t="str">
        <f>IF('[1]371 Community Livestock Assets '!V91="","",'[1]371 Community Livestock Assets '!V91)</f>
        <v/>
      </c>
      <c r="X88" s="71" t="str">
        <f>IF('[1]371 Community Livestock Assets '!W91="","",'[1]371 Community Livestock Assets '!W91)</f>
        <v/>
      </c>
      <c r="Y88" s="71" t="str">
        <f>IF('[1]371 Community Livestock Assets '!X91="","",'[1]371 Community Livestock Assets '!X91)</f>
        <v/>
      </c>
      <c r="Z88" s="71" t="str">
        <f>IF('[1]371 Community Livestock Assets '!Y91="","",'[1]371 Community Livestock Assets '!Y91)</f>
        <v/>
      </c>
      <c r="AA88" s="71" t="str">
        <f>IF('[1]371 Community Livestock Assets '!Z91="","",'[1]371 Community Livestock Assets '!Z91)</f>
        <v/>
      </c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</row>
    <row r="89" spans="1:53" s="39" customFormat="1" ht="17" hidden="1" customHeight="1">
      <c r="A89" s="50"/>
      <c r="B89" s="93" t="str">
        <f>IF('[1]371 Community Livestock Assets '!B91=0," ",'[1]371 Community Livestock Assets '!B91)</f>
        <v xml:space="preserve"> </v>
      </c>
      <c r="C89" s="93" t="str">
        <f>IF('[1]371 Community Livestock Assets '!C92=0," ",'[1]371 Community Livestock Assets '!C92)</f>
        <v xml:space="preserve"> </v>
      </c>
      <c r="D89" s="88" t="str">
        <f t="shared" si="4"/>
        <v xml:space="preserve"> </v>
      </c>
      <c r="E89" s="71" t="str">
        <f>IF('[1]371 Community Livestock Assets '!D92="","",'[1]371 Community Livestock Assets '!D92)</f>
        <v/>
      </c>
      <c r="F89" s="71" t="str">
        <f>IF('[1]371 Community Livestock Assets '!E92="","",'[1]371 Community Livestock Assets '!E92)</f>
        <v/>
      </c>
      <c r="G89" s="71" t="str">
        <f>IF('[1]371 Community Livestock Assets '!F92="","",'[1]371 Community Livestock Assets '!F92)</f>
        <v/>
      </c>
      <c r="H89" s="71" t="str">
        <f>IF('[1]371 Community Livestock Assets '!G92="","",'[1]371 Community Livestock Assets '!G92)</f>
        <v/>
      </c>
      <c r="I89" s="71" t="str">
        <f>IF('[1]371 Community Livestock Assets '!H92="","",'[1]371 Community Livestock Assets '!H92)</f>
        <v/>
      </c>
      <c r="J89" s="71" t="str">
        <f>IF('[1]371 Community Livestock Assets '!I92="","",'[1]371 Community Livestock Assets '!I92)</f>
        <v/>
      </c>
      <c r="K89" s="71" t="str">
        <f>IF('[1]371 Community Livestock Assets '!J92="","",'[1]371 Community Livestock Assets '!J92)</f>
        <v/>
      </c>
      <c r="L89" s="71" t="str">
        <f>IF('[1]371 Community Livestock Assets '!K92="","",'[1]371 Community Livestock Assets '!K92)</f>
        <v/>
      </c>
      <c r="M89" s="71" t="str">
        <f>IF('[1]371 Community Livestock Assets '!L92="","",'[1]371 Community Livestock Assets '!L92)</f>
        <v/>
      </c>
      <c r="N89" s="71" t="str">
        <f>IF('[1]371 Community Livestock Assets '!M92="","",'[1]371 Community Livestock Assets '!M92)</f>
        <v/>
      </c>
      <c r="O89" s="71" t="str">
        <f>IF('[1]371 Community Livestock Assets '!N92="","",'[1]371 Community Livestock Assets '!N92)</f>
        <v/>
      </c>
      <c r="P89" s="71" t="str">
        <f>IF('[1]371 Community Livestock Assets '!O92="","",'[1]371 Community Livestock Assets '!O92)</f>
        <v/>
      </c>
      <c r="Q89" s="71" t="str">
        <f>IF('[1]371 Community Livestock Assets '!P92="","",'[1]371 Community Livestock Assets '!P92)</f>
        <v/>
      </c>
      <c r="R89" s="71" t="str">
        <f>IF('[1]371 Community Livestock Assets '!Q92="","",'[1]371 Community Livestock Assets '!Q92)</f>
        <v/>
      </c>
      <c r="S89" s="71" t="str">
        <f>IF('[1]371 Community Livestock Assets '!R92="","",'[1]371 Community Livestock Assets '!R92)</f>
        <v/>
      </c>
      <c r="T89" s="71" t="str">
        <f>IF('[1]371 Community Livestock Assets '!S92="","",'[1]371 Community Livestock Assets '!S92)</f>
        <v/>
      </c>
      <c r="U89" s="71" t="str">
        <f>IF('[1]371 Community Livestock Assets '!T92="","",'[1]371 Community Livestock Assets '!T92)</f>
        <v/>
      </c>
      <c r="V89" s="71" t="str">
        <f>IF('[1]371 Community Livestock Assets '!U92="","",'[1]371 Community Livestock Assets '!U92)</f>
        <v/>
      </c>
      <c r="W89" s="71" t="str">
        <f>IF('[1]371 Community Livestock Assets '!V92="","",'[1]371 Community Livestock Assets '!V92)</f>
        <v/>
      </c>
      <c r="X89" s="71" t="str">
        <f>IF('[1]371 Community Livestock Assets '!W92="","",'[1]371 Community Livestock Assets '!W92)</f>
        <v/>
      </c>
      <c r="Y89" s="71" t="str">
        <f>IF('[1]371 Community Livestock Assets '!X92="","",'[1]371 Community Livestock Assets '!X92)</f>
        <v/>
      </c>
      <c r="Z89" s="71" t="str">
        <f>IF('[1]371 Community Livestock Assets '!Y92="","",'[1]371 Community Livestock Assets '!Y92)</f>
        <v/>
      </c>
      <c r="AA89" s="71" t="str">
        <f>IF('[1]371 Community Livestock Assets '!Z92="","",'[1]371 Community Livestock Assets '!Z92)</f>
        <v/>
      </c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</row>
    <row r="90" spans="1:53" s="39" customFormat="1" ht="17" hidden="1" customHeight="1">
      <c r="A90" s="50"/>
      <c r="B90" s="93" t="str">
        <f>IF('[1]371 Community Livestock Assets '!B92=0," ",'[1]371 Community Livestock Assets '!B92)</f>
        <v xml:space="preserve"> </v>
      </c>
      <c r="C90" s="93" t="str">
        <f>IF('[1]371 Community Livestock Assets '!C93=0," ",'[1]371 Community Livestock Assets '!C93)</f>
        <v xml:space="preserve"> </v>
      </c>
      <c r="D90" s="88" t="str">
        <f t="shared" si="4"/>
        <v xml:space="preserve"> </v>
      </c>
      <c r="E90" s="71" t="str">
        <f>IF('[1]371 Community Livestock Assets '!D93="","",'[1]371 Community Livestock Assets '!D93)</f>
        <v/>
      </c>
      <c r="F90" s="71" t="str">
        <f>IF('[1]371 Community Livestock Assets '!E93="","",'[1]371 Community Livestock Assets '!E93)</f>
        <v/>
      </c>
      <c r="G90" s="71" t="str">
        <f>IF('[1]371 Community Livestock Assets '!F93="","",'[1]371 Community Livestock Assets '!F93)</f>
        <v/>
      </c>
      <c r="H90" s="71" t="str">
        <f>IF('[1]371 Community Livestock Assets '!G93="","",'[1]371 Community Livestock Assets '!G93)</f>
        <v/>
      </c>
      <c r="I90" s="71" t="str">
        <f>IF('[1]371 Community Livestock Assets '!H93="","",'[1]371 Community Livestock Assets '!H93)</f>
        <v/>
      </c>
      <c r="J90" s="71" t="str">
        <f>IF('[1]371 Community Livestock Assets '!I93="","",'[1]371 Community Livestock Assets '!I93)</f>
        <v/>
      </c>
      <c r="K90" s="71" t="str">
        <f>IF('[1]371 Community Livestock Assets '!J93="","",'[1]371 Community Livestock Assets '!J93)</f>
        <v/>
      </c>
      <c r="L90" s="71" t="str">
        <f>IF('[1]371 Community Livestock Assets '!K93="","",'[1]371 Community Livestock Assets '!K93)</f>
        <v/>
      </c>
      <c r="M90" s="71" t="str">
        <f>IF('[1]371 Community Livestock Assets '!L93="","",'[1]371 Community Livestock Assets '!L93)</f>
        <v/>
      </c>
      <c r="N90" s="71" t="str">
        <f>IF('[1]371 Community Livestock Assets '!M93="","",'[1]371 Community Livestock Assets '!M93)</f>
        <v/>
      </c>
      <c r="O90" s="71" t="str">
        <f>IF('[1]371 Community Livestock Assets '!N93="","",'[1]371 Community Livestock Assets '!N93)</f>
        <v/>
      </c>
      <c r="P90" s="71" t="str">
        <f>IF('[1]371 Community Livestock Assets '!O93="","",'[1]371 Community Livestock Assets '!O93)</f>
        <v/>
      </c>
      <c r="Q90" s="71" t="str">
        <f>IF('[1]371 Community Livestock Assets '!P93="","",'[1]371 Community Livestock Assets '!P93)</f>
        <v/>
      </c>
      <c r="R90" s="71" t="str">
        <f>IF('[1]371 Community Livestock Assets '!Q93="","",'[1]371 Community Livestock Assets '!Q93)</f>
        <v/>
      </c>
      <c r="S90" s="71" t="str">
        <f>IF('[1]371 Community Livestock Assets '!R93="","",'[1]371 Community Livestock Assets '!R93)</f>
        <v/>
      </c>
      <c r="T90" s="71" t="str">
        <f>IF('[1]371 Community Livestock Assets '!S93="","",'[1]371 Community Livestock Assets '!S93)</f>
        <v/>
      </c>
      <c r="U90" s="71" t="str">
        <f>IF('[1]371 Community Livestock Assets '!T93="","",'[1]371 Community Livestock Assets '!T93)</f>
        <v/>
      </c>
      <c r="V90" s="71" t="str">
        <f>IF('[1]371 Community Livestock Assets '!U93="","",'[1]371 Community Livestock Assets '!U93)</f>
        <v/>
      </c>
      <c r="W90" s="71" t="str">
        <f>IF('[1]371 Community Livestock Assets '!V93="","",'[1]371 Community Livestock Assets '!V93)</f>
        <v/>
      </c>
      <c r="X90" s="71" t="str">
        <f>IF('[1]371 Community Livestock Assets '!W93="","",'[1]371 Community Livestock Assets '!W93)</f>
        <v/>
      </c>
      <c r="Y90" s="71" t="str">
        <f>IF('[1]371 Community Livestock Assets '!X93="","",'[1]371 Community Livestock Assets '!X93)</f>
        <v/>
      </c>
      <c r="Z90" s="71" t="str">
        <f>IF('[1]371 Community Livestock Assets '!Y93="","",'[1]371 Community Livestock Assets '!Y93)</f>
        <v/>
      </c>
      <c r="AA90" s="71" t="str">
        <f>IF('[1]371 Community Livestock Assets '!Z93="","",'[1]371 Community Livestock Assets '!Z93)</f>
        <v/>
      </c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</row>
    <row r="91" spans="1:53" s="39" customFormat="1" ht="17" hidden="1" customHeight="1">
      <c r="A91" s="50"/>
      <c r="B91" s="93" t="str">
        <f>IF('[1]371 Community Livestock Assets '!B93=0," ",'[1]371 Community Livestock Assets '!B93)</f>
        <v xml:space="preserve"> </v>
      </c>
      <c r="C91" s="93" t="str">
        <f>IF('[1]371 Community Livestock Assets '!C94=0," ",'[1]371 Community Livestock Assets '!C94)</f>
        <v xml:space="preserve"> </v>
      </c>
      <c r="D91" s="88" t="str">
        <f t="shared" si="4"/>
        <v xml:space="preserve"> </v>
      </c>
      <c r="E91" s="71" t="str">
        <f>IF('[1]371 Community Livestock Assets '!D94="","",'[1]371 Community Livestock Assets '!D94)</f>
        <v/>
      </c>
      <c r="F91" s="71" t="str">
        <f>IF('[1]371 Community Livestock Assets '!E94="","",'[1]371 Community Livestock Assets '!E94)</f>
        <v/>
      </c>
      <c r="G91" s="71" t="str">
        <f>IF('[1]371 Community Livestock Assets '!F94="","",'[1]371 Community Livestock Assets '!F94)</f>
        <v/>
      </c>
      <c r="H91" s="71" t="str">
        <f>IF('[1]371 Community Livestock Assets '!G94="","",'[1]371 Community Livestock Assets '!G94)</f>
        <v/>
      </c>
      <c r="I91" s="71" t="str">
        <f>IF('[1]371 Community Livestock Assets '!H94="","",'[1]371 Community Livestock Assets '!H94)</f>
        <v/>
      </c>
      <c r="J91" s="71" t="str">
        <f>IF('[1]371 Community Livestock Assets '!I94="","",'[1]371 Community Livestock Assets '!I94)</f>
        <v/>
      </c>
      <c r="K91" s="71" t="str">
        <f>IF('[1]371 Community Livestock Assets '!J94="","",'[1]371 Community Livestock Assets '!J94)</f>
        <v/>
      </c>
      <c r="L91" s="71" t="str">
        <f>IF('[1]371 Community Livestock Assets '!K94="","",'[1]371 Community Livestock Assets '!K94)</f>
        <v/>
      </c>
      <c r="M91" s="71" t="str">
        <f>IF('[1]371 Community Livestock Assets '!L94="","",'[1]371 Community Livestock Assets '!L94)</f>
        <v/>
      </c>
      <c r="N91" s="71" t="str">
        <f>IF('[1]371 Community Livestock Assets '!M94="","",'[1]371 Community Livestock Assets '!M94)</f>
        <v/>
      </c>
      <c r="O91" s="71" t="str">
        <f>IF('[1]371 Community Livestock Assets '!N94="","",'[1]371 Community Livestock Assets '!N94)</f>
        <v/>
      </c>
      <c r="P91" s="71" t="str">
        <f>IF('[1]371 Community Livestock Assets '!O94="","",'[1]371 Community Livestock Assets '!O94)</f>
        <v/>
      </c>
      <c r="Q91" s="71" t="str">
        <f>IF('[1]371 Community Livestock Assets '!P94="","",'[1]371 Community Livestock Assets '!P94)</f>
        <v/>
      </c>
      <c r="R91" s="71" t="str">
        <f>IF('[1]371 Community Livestock Assets '!Q94="","",'[1]371 Community Livestock Assets '!Q94)</f>
        <v/>
      </c>
      <c r="S91" s="71" t="str">
        <f>IF('[1]371 Community Livestock Assets '!R94="","",'[1]371 Community Livestock Assets '!R94)</f>
        <v/>
      </c>
      <c r="T91" s="71" t="str">
        <f>IF('[1]371 Community Livestock Assets '!S94="","",'[1]371 Community Livestock Assets '!S94)</f>
        <v/>
      </c>
      <c r="U91" s="71" t="str">
        <f>IF('[1]371 Community Livestock Assets '!T94="","",'[1]371 Community Livestock Assets '!T94)</f>
        <v/>
      </c>
      <c r="V91" s="71" t="str">
        <f>IF('[1]371 Community Livestock Assets '!U94="","",'[1]371 Community Livestock Assets '!U94)</f>
        <v/>
      </c>
      <c r="W91" s="71" t="str">
        <f>IF('[1]371 Community Livestock Assets '!V94="","",'[1]371 Community Livestock Assets '!V94)</f>
        <v/>
      </c>
      <c r="X91" s="71" t="str">
        <f>IF('[1]371 Community Livestock Assets '!W94="","",'[1]371 Community Livestock Assets '!W94)</f>
        <v/>
      </c>
      <c r="Y91" s="71" t="str">
        <f>IF('[1]371 Community Livestock Assets '!X94="","",'[1]371 Community Livestock Assets '!X94)</f>
        <v/>
      </c>
      <c r="Z91" s="71" t="str">
        <f>IF('[1]371 Community Livestock Assets '!Y94="","",'[1]371 Community Livestock Assets '!Y94)</f>
        <v/>
      </c>
      <c r="AA91" s="71" t="str">
        <f>IF('[1]371 Community Livestock Assets '!Z94="","",'[1]371 Community Livestock Assets '!Z94)</f>
        <v/>
      </c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</row>
    <row r="92" spans="1:53" s="39" customFormat="1" ht="17" hidden="1" customHeight="1">
      <c r="A92" s="50"/>
      <c r="B92" s="93" t="str">
        <f>IF('[1]371 Community Livestock Assets '!B94=0," ",'[1]371 Community Livestock Assets '!B94)</f>
        <v xml:space="preserve"> </v>
      </c>
      <c r="C92" s="93" t="str">
        <f>IF('[1]371 Community Livestock Assets '!C95=0," ",'[1]371 Community Livestock Assets '!C95)</f>
        <v xml:space="preserve"> </v>
      </c>
      <c r="D92" s="88" t="str">
        <f t="shared" si="4"/>
        <v xml:space="preserve"> </v>
      </c>
      <c r="E92" s="71" t="str">
        <f>IF('[1]371 Community Livestock Assets '!D95="","",'[1]371 Community Livestock Assets '!D95)</f>
        <v/>
      </c>
      <c r="F92" s="71" t="str">
        <f>IF('[1]371 Community Livestock Assets '!E95="","",'[1]371 Community Livestock Assets '!E95)</f>
        <v/>
      </c>
      <c r="G92" s="71" t="str">
        <f>IF('[1]371 Community Livestock Assets '!F95="","",'[1]371 Community Livestock Assets '!F95)</f>
        <v/>
      </c>
      <c r="H92" s="71" t="str">
        <f>IF('[1]371 Community Livestock Assets '!G95="","",'[1]371 Community Livestock Assets '!G95)</f>
        <v/>
      </c>
      <c r="I92" s="71" t="str">
        <f>IF('[1]371 Community Livestock Assets '!H95="","",'[1]371 Community Livestock Assets '!H95)</f>
        <v/>
      </c>
      <c r="J92" s="71" t="str">
        <f>IF('[1]371 Community Livestock Assets '!I95="","",'[1]371 Community Livestock Assets '!I95)</f>
        <v/>
      </c>
      <c r="K92" s="71" t="str">
        <f>IF('[1]371 Community Livestock Assets '!J95="","",'[1]371 Community Livestock Assets '!J95)</f>
        <v/>
      </c>
      <c r="L92" s="71" t="str">
        <f>IF('[1]371 Community Livestock Assets '!K95="","",'[1]371 Community Livestock Assets '!K95)</f>
        <v/>
      </c>
      <c r="M92" s="71" t="str">
        <f>IF('[1]371 Community Livestock Assets '!L95="","",'[1]371 Community Livestock Assets '!L95)</f>
        <v/>
      </c>
      <c r="N92" s="71" t="str">
        <f>IF('[1]371 Community Livestock Assets '!M95="","",'[1]371 Community Livestock Assets '!M95)</f>
        <v/>
      </c>
      <c r="O92" s="71" t="str">
        <f>IF('[1]371 Community Livestock Assets '!N95="","",'[1]371 Community Livestock Assets '!N95)</f>
        <v/>
      </c>
      <c r="P92" s="71" t="str">
        <f>IF('[1]371 Community Livestock Assets '!O95="","",'[1]371 Community Livestock Assets '!O95)</f>
        <v/>
      </c>
      <c r="Q92" s="71" t="str">
        <f>IF('[1]371 Community Livestock Assets '!P95="","",'[1]371 Community Livestock Assets '!P95)</f>
        <v/>
      </c>
      <c r="R92" s="71" t="str">
        <f>IF('[1]371 Community Livestock Assets '!Q95="","",'[1]371 Community Livestock Assets '!Q95)</f>
        <v/>
      </c>
      <c r="S92" s="71" t="str">
        <f>IF('[1]371 Community Livestock Assets '!R95="","",'[1]371 Community Livestock Assets '!R95)</f>
        <v/>
      </c>
      <c r="T92" s="71" t="str">
        <f>IF('[1]371 Community Livestock Assets '!S95="","",'[1]371 Community Livestock Assets '!S95)</f>
        <v/>
      </c>
      <c r="U92" s="71" t="str">
        <f>IF('[1]371 Community Livestock Assets '!T95="","",'[1]371 Community Livestock Assets '!T95)</f>
        <v/>
      </c>
      <c r="V92" s="71" t="str">
        <f>IF('[1]371 Community Livestock Assets '!U95="","",'[1]371 Community Livestock Assets '!U95)</f>
        <v/>
      </c>
      <c r="W92" s="71" t="str">
        <f>IF('[1]371 Community Livestock Assets '!V95="","",'[1]371 Community Livestock Assets '!V95)</f>
        <v/>
      </c>
      <c r="X92" s="71" t="str">
        <f>IF('[1]371 Community Livestock Assets '!W95="","",'[1]371 Community Livestock Assets '!W95)</f>
        <v/>
      </c>
      <c r="Y92" s="71" t="str">
        <f>IF('[1]371 Community Livestock Assets '!X95="","",'[1]371 Community Livestock Assets '!X95)</f>
        <v/>
      </c>
      <c r="Z92" s="71" t="str">
        <f>IF('[1]371 Community Livestock Assets '!Y95="","",'[1]371 Community Livestock Assets '!Y95)</f>
        <v/>
      </c>
      <c r="AA92" s="71" t="str">
        <f>IF('[1]371 Community Livestock Assets '!Z95="","",'[1]371 Community Livestock Assets '!Z95)</f>
        <v/>
      </c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</row>
    <row r="93" spans="1:53" s="39" customFormat="1" ht="17" hidden="1" customHeight="1">
      <c r="A93" s="50"/>
      <c r="B93" s="93" t="str">
        <f>IF('[1]371 Community Livestock Assets '!B95=0," ",'[1]371 Community Livestock Assets '!B95)</f>
        <v xml:space="preserve"> </v>
      </c>
      <c r="C93" s="93" t="str">
        <f>IF('[1]371 Community Livestock Assets '!C96=0," ",'[1]371 Community Livestock Assets '!C96)</f>
        <v xml:space="preserve"> </v>
      </c>
      <c r="D93" s="88" t="str">
        <f t="shared" si="4"/>
        <v xml:space="preserve"> </v>
      </c>
      <c r="E93" s="71" t="str">
        <f>IF('[1]371 Community Livestock Assets '!D96="","",'[1]371 Community Livestock Assets '!D96)</f>
        <v/>
      </c>
      <c r="F93" s="71" t="str">
        <f>IF('[1]371 Community Livestock Assets '!E96="","",'[1]371 Community Livestock Assets '!E96)</f>
        <v/>
      </c>
      <c r="G93" s="71" t="str">
        <f>IF('[1]371 Community Livestock Assets '!F96="","",'[1]371 Community Livestock Assets '!F96)</f>
        <v/>
      </c>
      <c r="H93" s="71" t="str">
        <f>IF('[1]371 Community Livestock Assets '!G96="","",'[1]371 Community Livestock Assets '!G96)</f>
        <v/>
      </c>
      <c r="I93" s="71" t="str">
        <f>IF('[1]371 Community Livestock Assets '!H96="","",'[1]371 Community Livestock Assets '!H96)</f>
        <v/>
      </c>
      <c r="J93" s="71" t="str">
        <f>IF('[1]371 Community Livestock Assets '!I96="","",'[1]371 Community Livestock Assets '!I96)</f>
        <v/>
      </c>
      <c r="K93" s="71" t="str">
        <f>IF('[1]371 Community Livestock Assets '!J96="","",'[1]371 Community Livestock Assets '!J96)</f>
        <v/>
      </c>
      <c r="L93" s="71" t="str">
        <f>IF('[1]371 Community Livestock Assets '!K96="","",'[1]371 Community Livestock Assets '!K96)</f>
        <v/>
      </c>
      <c r="M93" s="71" t="str">
        <f>IF('[1]371 Community Livestock Assets '!L96="","",'[1]371 Community Livestock Assets '!L96)</f>
        <v/>
      </c>
      <c r="N93" s="71" t="str">
        <f>IF('[1]371 Community Livestock Assets '!M96="","",'[1]371 Community Livestock Assets '!M96)</f>
        <v/>
      </c>
      <c r="O93" s="71" t="str">
        <f>IF('[1]371 Community Livestock Assets '!N96="","",'[1]371 Community Livestock Assets '!N96)</f>
        <v/>
      </c>
      <c r="P93" s="71" t="str">
        <f>IF('[1]371 Community Livestock Assets '!O96="","",'[1]371 Community Livestock Assets '!O96)</f>
        <v/>
      </c>
      <c r="Q93" s="71" t="str">
        <f>IF('[1]371 Community Livestock Assets '!P96="","",'[1]371 Community Livestock Assets '!P96)</f>
        <v/>
      </c>
      <c r="R93" s="71" t="str">
        <f>IF('[1]371 Community Livestock Assets '!Q96="","",'[1]371 Community Livestock Assets '!Q96)</f>
        <v/>
      </c>
      <c r="S93" s="71" t="str">
        <f>IF('[1]371 Community Livestock Assets '!R96="","",'[1]371 Community Livestock Assets '!R96)</f>
        <v/>
      </c>
      <c r="T93" s="71" t="str">
        <f>IF('[1]371 Community Livestock Assets '!S96="","",'[1]371 Community Livestock Assets '!S96)</f>
        <v/>
      </c>
      <c r="U93" s="71" t="str">
        <f>IF('[1]371 Community Livestock Assets '!T96="","",'[1]371 Community Livestock Assets '!T96)</f>
        <v/>
      </c>
      <c r="V93" s="71" t="str">
        <f>IF('[1]371 Community Livestock Assets '!U96="","",'[1]371 Community Livestock Assets '!U96)</f>
        <v/>
      </c>
      <c r="W93" s="71" t="str">
        <f>IF('[1]371 Community Livestock Assets '!V96="","",'[1]371 Community Livestock Assets '!V96)</f>
        <v/>
      </c>
      <c r="X93" s="71" t="str">
        <f>IF('[1]371 Community Livestock Assets '!W96="","",'[1]371 Community Livestock Assets '!W96)</f>
        <v/>
      </c>
      <c r="Y93" s="71" t="str">
        <f>IF('[1]371 Community Livestock Assets '!X96="","",'[1]371 Community Livestock Assets '!X96)</f>
        <v/>
      </c>
      <c r="Z93" s="71" t="str">
        <f>IF('[1]371 Community Livestock Assets '!Y96="","",'[1]371 Community Livestock Assets '!Y96)</f>
        <v/>
      </c>
      <c r="AA93" s="71" t="str">
        <f>IF('[1]371 Community Livestock Assets '!Z96="","",'[1]371 Community Livestock Assets '!Z96)</f>
        <v/>
      </c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</row>
    <row r="94" spans="1:53" s="39" customFormat="1" ht="17" hidden="1" customHeight="1">
      <c r="A94" s="50"/>
      <c r="B94" s="93" t="str">
        <f>IF('[1]371 Community Livestock Assets '!B96=0," ",'[1]371 Community Livestock Assets '!B96)</f>
        <v xml:space="preserve"> </v>
      </c>
      <c r="C94" s="93" t="str">
        <f>IF('[1]371 Community Livestock Assets '!C97=0," ",'[1]371 Community Livestock Assets '!C97)</f>
        <v xml:space="preserve"> </v>
      </c>
      <c r="D94" s="88" t="str">
        <f t="shared" si="4"/>
        <v xml:space="preserve"> </v>
      </c>
      <c r="E94" s="71" t="str">
        <f>IF('[1]371 Community Livestock Assets '!D97="","",'[1]371 Community Livestock Assets '!D97)</f>
        <v/>
      </c>
      <c r="F94" s="71" t="str">
        <f>IF('[1]371 Community Livestock Assets '!E97="","",'[1]371 Community Livestock Assets '!E97)</f>
        <v/>
      </c>
      <c r="G94" s="71" t="str">
        <f>IF('[1]371 Community Livestock Assets '!F97="","",'[1]371 Community Livestock Assets '!F97)</f>
        <v/>
      </c>
      <c r="H94" s="71" t="str">
        <f>IF('[1]371 Community Livestock Assets '!G97="","",'[1]371 Community Livestock Assets '!G97)</f>
        <v/>
      </c>
      <c r="I94" s="71" t="str">
        <f>IF('[1]371 Community Livestock Assets '!H97="","",'[1]371 Community Livestock Assets '!H97)</f>
        <v/>
      </c>
      <c r="J94" s="71" t="str">
        <f>IF('[1]371 Community Livestock Assets '!I97="","",'[1]371 Community Livestock Assets '!I97)</f>
        <v/>
      </c>
      <c r="K94" s="71" t="str">
        <f>IF('[1]371 Community Livestock Assets '!J97="","",'[1]371 Community Livestock Assets '!J97)</f>
        <v/>
      </c>
      <c r="L94" s="71" t="str">
        <f>IF('[1]371 Community Livestock Assets '!K97="","",'[1]371 Community Livestock Assets '!K97)</f>
        <v/>
      </c>
      <c r="M94" s="71" t="str">
        <f>IF('[1]371 Community Livestock Assets '!L97="","",'[1]371 Community Livestock Assets '!L97)</f>
        <v/>
      </c>
      <c r="N94" s="71" t="str">
        <f>IF('[1]371 Community Livestock Assets '!M97="","",'[1]371 Community Livestock Assets '!M97)</f>
        <v/>
      </c>
      <c r="O94" s="71" t="str">
        <f>IF('[1]371 Community Livestock Assets '!N97="","",'[1]371 Community Livestock Assets '!N97)</f>
        <v/>
      </c>
      <c r="P94" s="71" t="str">
        <f>IF('[1]371 Community Livestock Assets '!O97="","",'[1]371 Community Livestock Assets '!O97)</f>
        <v/>
      </c>
      <c r="Q94" s="71" t="str">
        <f>IF('[1]371 Community Livestock Assets '!P97="","",'[1]371 Community Livestock Assets '!P97)</f>
        <v/>
      </c>
      <c r="R94" s="71" t="str">
        <f>IF('[1]371 Community Livestock Assets '!Q97="","",'[1]371 Community Livestock Assets '!Q97)</f>
        <v/>
      </c>
      <c r="S94" s="71" t="str">
        <f>IF('[1]371 Community Livestock Assets '!R97="","",'[1]371 Community Livestock Assets '!R97)</f>
        <v/>
      </c>
      <c r="T94" s="71" t="str">
        <f>IF('[1]371 Community Livestock Assets '!S97="","",'[1]371 Community Livestock Assets '!S97)</f>
        <v/>
      </c>
      <c r="U94" s="71" t="str">
        <f>IF('[1]371 Community Livestock Assets '!T97="","",'[1]371 Community Livestock Assets '!T97)</f>
        <v/>
      </c>
      <c r="V94" s="71" t="str">
        <f>IF('[1]371 Community Livestock Assets '!U97="","",'[1]371 Community Livestock Assets '!U97)</f>
        <v/>
      </c>
      <c r="W94" s="71" t="str">
        <f>IF('[1]371 Community Livestock Assets '!V97="","",'[1]371 Community Livestock Assets '!V97)</f>
        <v/>
      </c>
      <c r="X94" s="71" t="str">
        <f>IF('[1]371 Community Livestock Assets '!W97="","",'[1]371 Community Livestock Assets '!W97)</f>
        <v/>
      </c>
      <c r="Y94" s="71" t="str">
        <f>IF('[1]371 Community Livestock Assets '!X97="","",'[1]371 Community Livestock Assets '!X97)</f>
        <v/>
      </c>
      <c r="Z94" s="71" t="str">
        <f>IF('[1]371 Community Livestock Assets '!Y97="","",'[1]371 Community Livestock Assets '!Y97)</f>
        <v/>
      </c>
      <c r="AA94" s="71" t="str">
        <f>IF('[1]371 Community Livestock Assets '!Z97="","",'[1]371 Community Livestock Assets '!Z97)</f>
        <v/>
      </c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</row>
    <row r="95" spans="1:53" s="39" customFormat="1" ht="17" hidden="1" customHeight="1">
      <c r="A95" s="50"/>
      <c r="B95" s="93" t="str">
        <f>IF('[1]371 Community Livestock Assets '!B97=0," ",'[1]371 Community Livestock Assets '!B97)</f>
        <v xml:space="preserve"> </v>
      </c>
      <c r="C95" s="93" t="str">
        <f>IF('[1]371 Community Livestock Assets '!C98=0," ",'[1]371 Community Livestock Assets '!C98)</f>
        <v xml:space="preserve"> </v>
      </c>
      <c r="D95" s="88" t="str">
        <f t="shared" si="4"/>
        <v xml:space="preserve"> </v>
      </c>
      <c r="E95" s="71" t="str">
        <f>IF('[1]371 Community Livestock Assets '!D98="","",'[1]371 Community Livestock Assets '!D98)</f>
        <v/>
      </c>
      <c r="F95" s="71" t="str">
        <f>IF('[1]371 Community Livestock Assets '!E98="","",'[1]371 Community Livestock Assets '!E98)</f>
        <v/>
      </c>
      <c r="G95" s="71" t="str">
        <f>IF('[1]371 Community Livestock Assets '!F98="","",'[1]371 Community Livestock Assets '!F98)</f>
        <v/>
      </c>
      <c r="H95" s="71" t="str">
        <f>IF('[1]371 Community Livestock Assets '!G98="","",'[1]371 Community Livestock Assets '!G98)</f>
        <v/>
      </c>
      <c r="I95" s="71" t="str">
        <f>IF('[1]371 Community Livestock Assets '!H98="","",'[1]371 Community Livestock Assets '!H98)</f>
        <v/>
      </c>
      <c r="J95" s="71" t="str">
        <f>IF('[1]371 Community Livestock Assets '!I98="","",'[1]371 Community Livestock Assets '!I98)</f>
        <v/>
      </c>
      <c r="K95" s="71" t="str">
        <f>IF('[1]371 Community Livestock Assets '!J98="","",'[1]371 Community Livestock Assets '!J98)</f>
        <v/>
      </c>
      <c r="L95" s="71" t="str">
        <f>IF('[1]371 Community Livestock Assets '!K98="","",'[1]371 Community Livestock Assets '!K98)</f>
        <v/>
      </c>
      <c r="M95" s="71" t="str">
        <f>IF('[1]371 Community Livestock Assets '!L98="","",'[1]371 Community Livestock Assets '!L98)</f>
        <v/>
      </c>
      <c r="N95" s="71" t="str">
        <f>IF('[1]371 Community Livestock Assets '!M98="","",'[1]371 Community Livestock Assets '!M98)</f>
        <v/>
      </c>
      <c r="O95" s="71" t="str">
        <f>IF('[1]371 Community Livestock Assets '!N98="","",'[1]371 Community Livestock Assets '!N98)</f>
        <v/>
      </c>
      <c r="P95" s="71" t="str">
        <f>IF('[1]371 Community Livestock Assets '!O98="","",'[1]371 Community Livestock Assets '!O98)</f>
        <v/>
      </c>
      <c r="Q95" s="71" t="str">
        <f>IF('[1]371 Community Livestock Assets '!P98="","",'[1]371 Community Livestock Assets '!P98)</f>
        <v/>
      </c>
      <c r="R95" s="71" t="str">
        <f>IF('[1]371 Community Livestock Assets '!Q98="","",'[1]371 Community Livestock Assets '!Q98)</f>
        <v/>
      </c>
      <c r="S95" s="71" t="str">
        <f>IF('[1]371 Community Livestock Assets '!R98="","",'[1]371 Community Livestock Assets '!R98)</f>
        <v/>
      </c>
      <c r="T95" s="71" t="str">
        <f>IF('[1]371 Community Livestock Assets '!S98="","",'[1]371 Community Livestock Assets '!S98)</f>
        <v/>
      </c>
      <c r="U95" s="71" t="str">
        <f>IF('[1]371 Community Livestock Assets '!T98="","",'[1]371 Community Livestock Assets '!T98)</f>
        <v/>
      </c>
      <c r="V95" s="71" t="str">
        <f>IF('[1]371 Community Livestock Assets '!U98="","",'[1]371 Community Livestock Assets '!U98)</f>
        <v/>
      </c>
      <c r="W95" s="71" t="str">
        <f>IF('[1]371 Community Livestock Assets '!V98="","",'[1]371 Community Livestock Assets '!V98)</f>
        <v/>
      </c>
      <c r="X95" s="71" t="str">
        <f>IF('[1]371 Community Livestock Assets '!W98="","",'[1]371 Community Livestock Assets '!W98)</f>
        <v/>
      </c>
      <c r="Y95" s="71" t="str">
        <f>IF('[1]371 Community Livestock Assets '!X98="","",'[1]371 Community Livestock Assets '!X98)</f>
        <v/>
      </c>
      <c r="Z95" s="71" t="str">
        <f>IF('[1]371 Community Livestock Assets '!Y98="","",'[1]371 Community Livestock Assets '!Y98)</f>
        <v/>
      </c>
      <c r="AA95" s="71" t="str">
        <f>IF('[1]371 Community Livestock Assets '!Z98="","",'[1]371 Community Livestock Assets '!Z98)</f>
        <v/>
      </c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</row>
    <row r="96" spans="1:53" s="39" customFormat="1" ht="17" hidden="1" customHeight="1">
      <c r="A96" s="50"/>
      <c r="B96" s="93" t="str">
        <f>IF('[1]371 Community Livestock Assets '!B98=0," ",'[1]371 Community Livestock Assets '!B98)</f>
        <v xml:space="preserve"> </v>
      </c>
      <c r="C96" s="93" t="str">
        <f>IF('[1]371 Community Livestock Assets '!C99=0," ",'[1]371 Community Livestock Assets '!C99)</f>
        <v xml:space="preserve"> </v>
      </c>
      <c r="D96" s="88" t="str">
        <f t="shared" si="4"/>
        <v xml:space="preserve"> </v>
      </c>
      <c r="E96" s="71" t="str">
        <f>IF('[1]371 Community Livestock Assets '!D99="","",'[1]371 Community Livestock Assets '!D99)</f>
        <v/>
      </c>
      <c r="F96" s="71" t="str">
        <f>IF('[1]371 Community Livestock Assets '!E99="","",'[1]371 Community Livestock Assets '!E99)</f>
        <v/>
      </c>
      <c r="G96" s="71" t="str">
        <f>IF('[1]371 Community Livestock Assets '!F99="","",'[1]371 Community Livestock Assets '!F99)</f>
        <v/>
      </c>
      <c r="H96" s="71" t="str">
        <f>IF('[1]371 Community Livestock Assets '!G99="","",'[1]371 Community Livestock Assets '!G99)</f>
        <v/>
      </c>
      <c r="I96" s="71" t="str">
        <f>IF('[1]371 Community Livestock Assets '!H99="","",'[1]371 Community Livestock Assets '!H99)</f>
        <v/>
      </c>
      <c r="J96" s="71" t="str">
        <f>IF('[1]371 Community Livestock Assets '!I99="","",'[1]371 Community Livestock Assets '!I99)</f>
        <v/>
      </c>
      <c r="K96" s="71" t="str">
        <f>IF('[1]371 Community Livestock Assets '!J99="","",'[1]371 Community Livestock Assets '!J99)</f>
        <v/>
      </c>
      <c r="L96" s="71" t="str">
        <f>IF('[1]371 Community Livestock Assets '!K99="","",'[1]371 Community Livestock Assets '!K99)</f>
        <v/>
      </c>
      <c r="M96" s="71" t="str">
        <f>IF('[1]371 Community Livestock Assets '!L99="","",'[1]371 Community Livestock Assets '!L99)</f>
        <v/>
      </c>
      <c r="N96" s="71" t="str">
        <f>IF('[1]371 Community Livestock Assets '!M99="","",'[1]371 Community Livestock Assets '!M99)</f>
        <v/>
      </c>
      <c r="O96" s="71" t="str">
        <f>IF('[1]371 Community Livestock Assets '!N99="","",'[1]371 Community Livestock Assets '!N99)</f>
        <v/>
      </c>
      <c r="P96" s="71" t="str">
        <f>IF('[1]371 Community Livestock Assets '!O99="","",'[1]371 Community Livestock Assets '!O99)</f>
        <v/>
      </c>
      <c r="Q96" s="71" t="str">
        <f>IF('[1]371 Community Livestock Assets '!P99="","",'[1]371 Community Livestock Assets '!P99)</f>
        <v/>
      </c>
      <c r="R96" s="71" t="str">
        <f>IF('[1]371 Community Livestock Assets '!Q99="","",'[1]371 Community Livestock Assets '!Q99)</f>
        <v/>
      </c>
      <c r="S96" s="71" t="str">
        <f>IF('[1]371 Community Livestock Assets '!R99="","",'[1]371 Community Livestock Assets '!R99)</f>
        <v/>
      </c>
      <c r="T96" s="71" t="str">
        <f>IF('[1]371 Community Livestock Assets '!S99="","",'[1]371 Community Livestock Assets '!S99)</f>
        <v/>
      </c>
      <c r="U96" s="71" t="str">
        <f>IF('[1]371 Community Livestock Assets '!T99="","",'[1]371 Community Livestock Assets '!T99)</f>
        <v/>
      </c>
      <c r="V96" s="71" t="str">
        <f>IF('[1]371 Community Livestock Assets '!U99="","",'[1]371 Community Livestock Assets '!U99)</f>
        <v/>
      </c>
      <c r="W96" s="71" t="str">
        <f>IF('[1]371 Community Livestock Assets '!V99="","",'[1]371 Community Livestock Assets '!V99)</f>
        <v/>
      </c>
      <c r="X96" s="71" t="str">
        <f>IF('[1]371 Community Livestock Assets '!W99="","",'[1]371 Community Livestock Assets '!W99)</f>
        <v/>
      </c>
      <c r="Y96" s="71" t="str">
        <f>IF('[1]371 Community Livestock Assets '!X99="","",'[1]371 Community Livestock Assets '!X99)</f>
        <v/>
      </c>
      <c r="Z96" s="71" t="str">
        <f>IF('[1]371 Community Livestock Assets '!Y99="","",'[1]371 Community Livestock Assets '!Y99)</f>
        <v/>
      </c>
      <c r="AA96" s="71" t="str">
        <f>IF('[1]371 Community Livestock Assets '!Z99="","",'[1]371 Community Livestock Assets '!Z99)</f>
        <v/>
      </c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</row>
    <row r="97" spans="1:53" s="39" customFormat="1" ht="17" hidden="1" customHeight="1">
      <c r="A97" s="50"/>
      <c r="B97" s="93" t="str">
        <f>IF('[1]371 Community Livestock Assets '!B99=0," ",'[1]371 Community Livestock Assets '!B99)</f>
        <v xml:space="preserve"> </v>
      </c>
      <c r="C97" s="93" t="str">
        <f>IF('[1]371 Community Livestock Assets '!C100=0," ",'[1]371 Community Livestock Assets '!C100)</f>
        <v xml:space="preserve"> </v>
      </c>
      <c r="D97" s="88" t="str">
        <f t="shared" si="4"/>
        <v xml:space="preserve"> </v>
      </c>
      <c r="E97" s="71" t="str">
        <f>IF('[1]371 Community Livestock Assets '!D100="","",'[1]371 Community Livestock Assets '!D100)</f>
        <v/>
      </c>
      <c r="F97" s="71" t="str">
        <f>IF('[1]371 Community Livestock Assets '!E100="","",'[1]371 Community Livestock Assets '!E100)</f>
        <v/>
      </c>
      <c r="G97" s="71" t="str">
        <f>IF('[1]371 Community Livestock Assets '!F100="","",'[1]371 Community Livestock Assets '!F100)</f>
        <v/>
      </c>
      <c r="H97" s="71" t="str">
        <f>IF('[1]371 Community Livestock Assets '!G100="","",'[1]371 Community Livestock Assets '!G100)</f>
        <v/>
      </c>
      <c r="I97" s="71" t="str">
        <f>IF('[1]371 Community Livestock Assets '!H100="","",'[1]371 Community Livestock Assets '!H100)</f>
        <v/>
      </c>
      <c r="J97" s="71" t="str">
        <f>IF('[1]371 Community Livestock Assets '!I100="","",'[1]371 Community Livestock Assets '!I100)</f>
        <v/>
      </c>
      <c r="K97" s="71" t="str">
        <f>IF('[1]371 Community Livestock Assets '!J100="","",'[1]371 Community Livestock Assets '!J100)</f>
        <v/>
      </c>
      <c r="L97" s="71" t="str">
        <f>IF('[1]371 Community Livestock Assets '!K100="","",'[1]371 Community Livestock Assets '!K100)</f>
        <v/>
      </c>
      <c r="M97" s="71" t="str">
        <f>IF('[1]371 Community Livestock Assets '!L100="","",'[1]371 Community Livestock Assets '!L100)</f>
        <v/>
      </c>
      <c r="N97" s="71" t="str">
        <f>IF('[1]371 Community Livestock Assets '!M100="","",'[1]371 Community Livestock Assets '!M100)</f>
        <v/>
      </c>
      <c r="O97" s="71" t="str">
        <f>IF('[1]371 Community Livestock Assets '!N100="","",'[1]371 Community Livestock Assets '!N100)</f>
        <v/>
      </c>
      <c r="P97" s="71" t="str">
        <f>IF('[1]371 Community Livestock Assets '!O100="","",'[1]371 Community Livestock Assets '!O100)</f>
        <v/>
      </c>
      <c r="Q97" s="71" t="str">
        <f>IF('[1]371 Community Livestock Assets '!P100="","",'[1]371 Community Livestock Assets '!P100)</f>
        <v/>
      </c>
      <c r="R97" s="71" t="str">
        <f>IF('[1]371 Community Livestock Assets '!Q100="","",'[1]371 Community Livestock Assets '!Q100)</f>
        <v/>
      </c>
      <c r="S97" s="71" t="str">
        <f>IF('[1]371 Community Livestock Assets '!R100="","",'[1]371 Community Livestock Assets '!R100)</f>
        <v/>
      </c>
      <c r="T97" s="71" t="str">
        <f>IF('[1]371 Community Livestock Assets '!S100="","",'[1]371 Community Livestock Assets '!S100)</f>
        <v/>
      </c>
      <c r="U97" s="71" t="str">
        <f>IF('[1]371 Community Livestock Assets '!T100="","",'[1]371 Community Livestock Assets '!T100)</f>
        <v/>
      </c>
      <c r="V97" s="71" t="str">
        <f>IF('[1]371 Community Livestock Assets '!U100="","",'[1]371 Community Livestock Assets '!U100)</f>
        <v/>
      </c>
      <c r="W97" s="71" t="str">
        <f>IF('[1]371 Community Livestock Assets '!V100="","",'[1]371 Community Livestock Assets '!V100)</f>
        <v/>
      </c>
      <c r="X97" s="71" t="str">
        <f>IF('[1]371 Community Livestock Assets '!W100="","",'[1]371 Community Livestock Assets '!W100)</f>
        <v/>
      </c>
      <c r="Y97" s="71" t="str">
        <f>IF('[1]371 Community Livestock Assets '!X100="","",'[1]371 Community Livestock Assets '!X100)</f>
        <v/>
      </c>
      <c r="Z97" s="71" t="str">
        <f>IF('[1]371 Community Livestock Assets '!Y100="","",'[1]371 Community Livestock Assets '!Y100)</f>
        <v/>
      </c>
      <c r="AA97" s="71" t="str">
        <f>IF('[1]371 Community Livestock Assets '!Z100="","",'[1]371 Community Livestock Assets '!Z100)</f>
        <v/>
      </c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</row>
    <row r="98" spans="1:53" s="39" customFormat="1" ht="17" hidden="1" customHeight="1">
      <c r="A98" s="50"/>
      <c r="B98" s="93" t="str">
        <f>IF('[1]371 Community Livestock Assets '!B100=0," ",'[1]371 Community Livestock Assets '!B100)</f>
        <v xml:space="preserve"> </v>
      </c>
      <c r="C98" s="93" t="str">
        <f>IF('[1]371 Community Livestock Assets '!C101=0," ",'[1]371 Community Livestock Assets '!C101)</f>
        <v xml:space="preserve"> </v>
      </c>
      <c r="D98" s="88" t="str">
        <f t="shared" si="4"/>
        <v xml:space="preserve"> </v>
      </c>
      <c r="E98" s="71" t="str">
        <f>IF('[1]371 Community Livestock Assets '!D101="","",'[1]371 Community Livestock Assets '!D101)</f>
        <v/>
      </c>
      <c r="F98" s="71" t="str">
        <f>IF('[1]371 Community Livestock Assets '!E101="","",'[1]371 Community Livestock Assets '!E101)</f>
        <v/>
      </c>
      <c r="G98" s="71" t="str">
        <f>IF('[1]371 Community Livestock Assets '!F101="","",'[1]371 Community Livestock Assets '!F101)</f>
        <v/>
      </c>
      <c r="H98" s="71" t="str">
        <f>IF('[1]371 Community Livestock Assets '!G101="","",'[1]371 Community Livestock Assets '!G101)</f>
        <v/>
      </c>
      <c r="I98" s="71" t="str">
        <f>IF('[1]371 Community Livestock Assets '!H101="","",'[1]371 Community Livestock Assets '!H101)</f>
        <v/>
      </c>
      <c r="J98" s="71" t="str">
        <f>IF('[1]371 Community Livestock Assets '!I101="","",'[1]371 Community Livestock Assets '!I101)</f>
        <v/>
      </c>
      <c r="K98" s="71" t="str">
        <f>IF('[1]371 Community Livestock Assets '!J101="","",'[1]371 Community Livestock Assets '!J101)</f>
        <v/>
      </c>
      <c r="L98" s="71" t="str">
        <f>IF('[1]371 Community Livestock Assets '!K101="","",'[1]371 Community Livestock Assets '!K101)</f>
        <v/>
      </c>
      <c r="M98" s="71" t="str">
        <f>IF('[1]371 Community Livestock Assets '!L101="","",'[1]371 Community Livestock Assets '!L101)</f>
        <v/>
      </c>
      <c r="N98" s="71" t="str">
        <f>IF('[1]371 Community Livestock Assets '!M101="","",'[1]371 Community Livestock Assets '!M101)</f>
        <v/>
      </c>
      <c r="O98" s="71" t="str">
        <f>IF('[1]371 Community Livestock Assets '!N101="","",'[1]371 Community Livestock Assets '!N101)</f>
        <v/>
      </c>
      <c r="P98" s="71" t="str">
        <f>IF('[1]371 Community Livestock Assets '!O101="","",'[1]371 Community Livestock Assets '!O101)</f>
        <v/>
      </c>
      <c r="Q98" s="71" t="str">
        <f>IF('[1]371 Community Livestock Assets '!P101="","",'[1]371 Community Livestock Assets '!P101)</f>
        <v/>
      </c>
      <c r="R98" s="71" t="str">
        <f>IF('[1]371 Community Livestock Assets '!Q101="","",'[1]371 Community Livestock Assets '!Q101)</f>
        <v/>
      </c>
      <c r="S98" s="71" t="str">
        <f>IF('[1]371 Community Livestock Assets '!R101="","",'[1]371 Community Livestock Assets '!R101)</f>
        <v/>
      </c>
      <c r="T98" s="71" t="str">
        <f>IF('[1]371 Community Livestock Assets '!S101="","",'[1]371 Community Livestock Assets '!S101)</f>
        <v/>
      </c>
      <c r="U98" s="71" t="str">
        <f>IF('[1]371 Community Livestock Assets '!T101="","",'[1]371 Community Livestock Assets '!T101)</f>
        <v/>
      </c>
      <c r="V98" s="71" t="str">
        <f>IF('[1]371 Community Livestock Assets '!U101="","",'[1]371 Community Livestock Assets '!U101)</f>
        <v/>
      </c>
      <c r="W98" s="71" t="str">
        <f>IF('[1]371 Community Livestock Assets '!V101="","",'[1]371 Community Livestock Assets '!V101)</f>
        <v/>
      </c>
      <c r="X98" s="71" t="str">
        <f>IF('[1]371 Community Livestock Assets '!W101="","",'[1]371 Community Livestock Assets '!W101)</f>
        <v/>
      </c>
      <c r="Y98" s="71" t="str">
        <f>IF('[1]371 Community Livestock Assets '!X101="","",'[1]371 Community Livestock Assets '!X101)</f>
        <v/>
      </c>
      <c r="Z98" s="71" t="str">
        <f>IF('[1]371 Community Livestock Assets '!Y101="","",'[1]371 Community Livestock Assets '!Y101)</f>
        <v/>
      </c>
      <c r="AA98" s="71" t="str">
        <f>IF('[1]371 Community Livestock Assets '!Z101="","",'[1]371 Community Livestock Assets '!Z101)</f>
        <v/>
      </c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</row>
    <row r="99" spans="1:53" s="39" customFormat="1" ht="17" hidden="1" customHeight="1">
      <c r="A99" s="50"/>
      <c r="B99" s="93" t="str">
        <f>IF('[1]371 Community Livestock Assets '!B101=0," ",'[1]371 Community Livestock Assets '!B101)</f>
        <v xml:space="preserve"> </v>
      </c>
      <c r="C99" s="93" t="str">
        <f>IF('[1]371 Community Livestock Assets '!C102=0," ",'[1]371 Community Livestock Assets '!C102)</f>
        <v xml:space="preserve"> </v>
      </c>
      <c r="D99" s="88" t="str">
        <f t="shared" si="4"/>
        <v xml:space="preserve"> </v>
      </c>
      <c r="E99" s="71" t="str">
        <f>IF('[1]371 Community Livestock Assets '!D102="","",'[1]371 Community Livestock Assets '!D102)</f>
        <v/>
      </c>
      <c r="F99" s="71" t="str">
        <f>IF('[1]371 Community Livestock Assets '!E102="","",'[1]371 Community Livestock Assets '!E102)</f>
        <v/>
      </c>
      <c r="G99" s="71" t="str">
        <f>IF('[1]371 Community Livestock Assets '!F102="","",'[1]371 Community Livestock Assets '!F102)</f>
        <v/>
      </c>
      <c r="H99" s="71" t="str">
        <f>IF('[1]371 Community Livestock Assets '!G102="","",'[1]371 Community Livestock Assets '!G102)</f>
        <v/>
      </c>
      <c r="I99" s="71" t="str">
        <f>IF('[1]371 Community Livestock Assets '!H102="","",'[1]371 Community Livestock Assets '!H102)</f>
        <v/>
      </c>
      <c r="J99" s="71" t="str">
        <f>IF('[1]371 Community Livestock Assets '!I102="","",'[1]371 Community Livestock Assets '!I102)</f>
        <v/>
      </c>
      <c r="K99" s="71" t="str">
        <f>IF('[1]371 Community Livestock Assets '!J102="","",'[1]371 Community Livestock Assets '!J102)</f>
        <v/>
      </c>
      <c r="L99" s="71" t="str">
        <f>IF('[1]371 Community Livestock Assets '!K102="","",'[1]371 Community Livestock Assets '!K102)</f>
        <v/>
      </c>
      <c r="M99" s="71" t="str">
        <f>IF('[1]371 Community Livestock Assets '!L102="","",'[1]371 Community Livestock Assets '!L102)</f>
        <v/>
      </c>
      <c r="N99" s="71" t="str">
        <f>IF('[1]371 Community Livestock Assets '!M102="","",'[1]371 Community Livestock Assets '!M102)</f>
        <v/>
      </c>
      <c r="O99" s="71" t="str">
        <f>IF('[1]371 Community Livestock Assets '!N102="","",'[1]371 Community Livestock Assets '!N102)</f>
        <v/>
      </c>
      <c r="P99" s="71" t="str">
        <f>IF('[1]371 Community Livestock Assets '!O102="","",'[1]371 Community Livestock Assets '!O102)</f>
        <v/>
      </c>
      <c r="Q99" s="71" t="str">
        <f>IF('[1]371 Community Livestock Assets '!P102="","",'[1]371 Community Livestock Assets '!P102)</f>
        <v/>
      </c>
      <c r="R99" s="71" t="str">
        <f>IF('[1]371 Community Livestock Assets '!Q102="","",'[1]371 Community Livestock Assets '!Q102)</f>
        <v/>
      </c>
      <c r="S99" s="71" t="str">
        <f>IF('[1]371 Community Livestock Assets '!R102="","",'[1]371 Community Livestock Assets '!R102)</f>
        <v/>
      </c>
      <c r="T99" s="71" t="str">
        <f>IF('[1]371 Community Livestock Assets '!S102="","",'[1]371 Community Livestock Assets '!S102)</f>
        <v/>
      </c>
      <c r="U99" s="71" t="str">
        <f>IF('[1]371 Community Livestock Assets '!T102="","",'[1]371 Community Livestock Assets '!T102)</f>
        <v/>
      </c>
      <c r="V99" s="71" t="str">
        <f>IF('[1]371 Community Livestock Assets '!U102="","",'[1]371 Community Livestock Assets '!U102)</f>
        <v/>
      </c>
      <c r="W99" s="71" t="str">
        <f>IF('[1]371 Community Livestock Assets '!V102="","",'[1]371 Community Livestock Assets '!V102)</f>
        <v/>
      </c>
      <c r="X99" s="71" t="str">
        <f>IF('[1]371 Community Livestock Assets '!W102="","",'[1]371 Community Livestock Assets '!W102)</f>
        <v/>
      </c>
      <c r="Y99" s="71" t="str">
        <f>IF('[1]371 Community Livestock Assets '!X102="","",'[1]371 Community Livestock Assets '!X102)</f>
        <v/>
      </c>
      <c r="Z99" s="71" t="str">
        <f>IF('[1]371 Community Livestock Assets '!Y102="","",'[1]371 Community Livestock Assets '!Y102)</f>
        <v/>
      </c>
      <c r="AA99" s="71" t="str">
        <f>IF('[1]371 Community Livestock Assets '!Z102="","",'[1]371 Community Livestock Assets '!Z102)</f>
        <v/>
      </c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</row>
    <row r="100" spans="1:53" s="39" customFormat="1" ht="17" hidden="1" customHeight="1">
      <c r="A100" s="50"/>
      <c r="B100" s="90"/>
      <c r="C100" s="90"/>
      <c r="D100" s="88"/>
      <c r="E100" s="70"/>
      <c r="F100" s="70"/>
      <c r="G100" s="70"/>
      <c r="H100" s="70"/>
      <c r="I100" s="70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</row>
    <row r="101" spans="1:53" s="39" customFormat="1" ht="17" customHeight="1">
      <c r="A101" s="50"/>
      <c r="B101" s="91"/>
      <c r="C101" s="91"/>
      <c r="D101" s="89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</row>
    <row r="102" spans="1:53" s="39" customFormat="1" ht="17" customHeight="1">
      <c r="A102" s="50"/>
      <c r="B102" s="91"/>
      <c r="C102" s="91"/>
      <c r="D102" s="89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</row>
    <row r="103" spans="1:53" s="39" customFormat="1" ht="17" customHeight="1">
      <c r="A103" s="50"/>
      <c r="B103" s="91"/>
      <c r="C103" s="91"/>
      <c r="D103" s="89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</row>
    <row r="104" spans="1:53" s="39" customFormat="1" ht="17" customHeight="1">
      <c r="A104" s="50"/>
      <c r="B104" s="91"/>
      <c r="C104" s="91"/>
      <c r="D104" s="89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</row>
    <row r="105" spans="1:53" s="39" customFormat="1" ht="17" customHeight="1">
      <c r="A105" s="50"/>
      <c r="B105" s="91"/>
      <c r="C105" s="91"/>
      <c r="D105" s="89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</row>
    <row r="106" spans="1:53" s="39" customFormat="1" ht="17" customHeight="1">
      <c r="A106" s="50"/>
      <c r="B106" s="91"/>
      <c r="C106" s="91"/>
      <c r="D106" s="89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</row>
    <row r="107" spans="1:53" s="39" customFormat="1" ht="17" customHeight="1">
      <c r="A107" s="50"/>
      <c r="B107" s="91"/>
      <c r="C107" s="91"/>
      <c r="D107" s="89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</row>
    <row r="108" spans="1:53" s="39" customFormat="1" ht="17" customHeight="1">
      <c r="A108" s="50"/>
      <c r="B108" s="91"/>
      <c r="C108" s="91"/>
      <c r="D108" s="89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</row>
    <row r="109" spans="1:53" s="39" customFormat="1" ht="17" customHeight="1">
      <c r="A109" s="50"/>
      <c r="B109" s="91"/>
      <c r="C109" s="91"/>
      <c r="D109" s="89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</row>
    <row r="110" spans="1:53" s="39" customFormat="1" ht="17" customHeight="1">
      <c r="A110" s="50"/>
      <c r="B110" s="91"/>
      <c r="C110" s="91"/>
      <c r="D110" s="89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</row>
    <row r="111" spans="1:53" s="39" customFormat="1" ht="17" customHeight="1">
      <c r="A111" s="50"/>
      <c r="B111" s="91"/>
      <c r="C111" s="91"/>
      <c r="D111" s="89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</row>
    <row r="112" spans="1:53" s="39" customFormat="1" ht="17" customHeight="1">
      <c r="A112" s="50"/>
      <c r="B112" s="91"/>
      <c r="C112" s="91"/>
      <c r="D112" s="89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</row>
    <row r="113" spans="1:53" s="39" customFormat="1" ht="17" customHeight="1">
      <c r="A113" s="50"/>
      <c r="B113" s="91"/>
      <c r="C113" s="91"/>
      <c r="D113" s="89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</row>
    <row r="114" spans="1:53" s="39" customFormat="1" ht="17" customHeight="1">
      <c r="A114" s="50"/>
      <c r="B114" s="91"/>
      <c r="C114" s="91"/>
      <c r="D114" s="89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</row>
    <row r="115" spans="1:53" s="39" customFormat="1" ht="17" customHeight="1">
      <c r="A115" s="50"/>
      <c r="B115" s="91"/>
      <c r="C115" s="91"/>
      <c r="D115" s="89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</row>
    <row r="116" spans="1:53" s="39" customFormat="1" ht="17" customHeight="1">
      <c r="A116" s="50"/>
      <c r="B116" s="91"/>
      <c r="C116" s="91"/>
      <c r="D116" s="89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</row>
    <row r="117" spans="1:53" s="39" customFormat="1" ht="17" customHeight="1">
      <c r="A117" s="50"/>
      <c r="B117" s="91"/>
      <c r="C117" s="91"/>
      <c r="D117" s="89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</row>
    <row r="118" spans="1:53" s="39" customFormat="1" ht="17" customHeight="1">
      <c r="A118" s="50"/>
      <c r="B118" s="91"/>
      <c r="C118" s="91"/>
      <c r="D118" s="89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</row>
    <row r="119" spans="1:53" s="39" customFormat="1" ht="17" customHeight="1">
      <c r="A119" s="50"/>
      <c r="B119" s="91"/>
      <c r="C119" s="91"/>
      <c r="D119" s="89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</row>
    <row r="120" spans="1:53" s="39" customFormat="1" ht="17" customHeight="1">
      <c r="A120" s="50"/>
      <c r="B120" s="91"/>
      <c r="C120" s="91"/>
      <c r="D120" s="89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</row>
    <row r="121" spans="1:53" s="39" customFormat="1" ht="17" customHeight="1">
      <c r="A121" s="50"/>
      <c r="B121" s="91"/>
      <c r="C121" s="91"/>
      <c r="D121" s="89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</row>
    <row r="122" spans="1:53" s="39" customFormat="1" ht="17" customHeight="1">
      <c r="A122" s="50"/>
      <c r="B122" s="91"/>
      <c r="C122" s="91"/>
      <c r="D122" s="89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</row>
    <row r="123" spans="1:53" s="39" customFormat="1" ht="17" customHeight="1">
      <c r="A123" s="50"/>
      <c r="B123" s="91"/>
      <c r="C123" s="91"/>
      <c r="D123" s="89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</row>
    <row r="124" spans="1:53" s="39" customFormat="1" ht="17" customHeight="1">
      <c r="A124" s="50"/>
      <c r="B124" s="91"/>
      <c r="C124" s="91"/>
      <c r="D124" s="89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</row>
    <row r="125" spans="1:53" s="39" customFormat="1" ht="17" customHeight="1">
      <c r="A125" s="50"/>
      <c r="B125" s="91"/>
      <c r="C125" s="91"/>
      <c r="D125" s="89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</row>
    <row r="126" spans="1:53" s="39" customFormat="1" ht="17" customHeight="1">
      <c r="A126" s="50"/>
      <c r="B126" s="91"/>
      <c r="C126" s="91"/>
      <c r="D126" s="89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</row>
    <row r="127" spans="1:53" s="39" customFormat="1" ht="17" customHeight="1">
      <c r="A127" s="50"/>
      <c r="B127" s="91"/>
      <c r="C127" s="91"/>
      <c r="D127" s="89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</row>
    <row r="128" spans="1:53" ht="17" customHeight="1"/>
    <row r="129" ht="17" customHeight="1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7</vt:i4>
      </vt:variant>
    </vt:vector>
  </HeadingPairs>
  <TitlesOfParts>
    <vt:vector size="17" baseType="lpstr">
      <vt:lpstr>Summary</vt:lpstr>
      <vt:lpstr>Disposable Income Data</vt:lpstr>
      <vt:lpstr>Disposable Income</vt:lpstr>
      <vt:lpstr>Standard of Living</vt:lpstr>
      <vt:lpstr>Cash Income Data</vt:lpstr>
      <vt:lpstr>Cash Income</vt:lpstr>
      <vt:lpstr>Food Income Data</vt:lpstr>
      <vt:lpstr>Food Income</vt:lpstr>
      <vt:lpstr>Land Assets</vt:lpstr>
      <vt:lpstr>LiveStock Assets</vt:lpstr>
      <vt:lpstr>CI_No_of_WGs</vt:lpstr>
      <vt:lpstr>'Cash Income Data'!DI_No_of_HHs</vt:lpstr>
      <vt:lpstr>'Food Income Data'!DI_No_of_HHs</vt:lpstr>
      <vt:lpstr>DI_No_of_WGs</vt:lpstr>
      <vt:lpstr>FI_No_of_WGs</vt:lpstr>
      <vt:lpstr>Land_No_of_WGs</vt:lpstr>
      <vt:lpstr>StoL_No_of_WGs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dai clegg</dc:creator>
  <cp:keywords/>
  <dc:description/>
  <cp:lastModifiedBy>dai clegg</cp:lastModifiedBy>
  <dcterms:created xsi:type="dcterms:W3CDTF">2019-05-30T10:31:49Z</dcterms:created>
  <dcterms:modified xsi:type="dcterms:W3CDTF">2019-12-30T18:31:07Z</dcterms:modified>
  <cp:category/>
</cp:coreProperties>
</file>